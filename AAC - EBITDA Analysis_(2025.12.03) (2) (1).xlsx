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Folders\Clients\Long River Defense Company\Project AAC\2. Financial Analyses\1. EBITDA Model\"/>
    </mc:Choice>
  </mc:AlternateContent>
  <xr:revisionPtr revIDLastSave="0" documentId="13_ncr:1_{A93CA56C-3EBF-4108-9F29-92DF6B5316D3}" xr6:coauthVersionLast="47" xr6:coauthVersionMax="47" xr10:uidLastSave="{00000000-0000-0000-0000-000000000000}"/>
  <bookViews>
    <workbookView xWindow="-110" yWindow="-110" windowWidth="19420" windowHeight="11500" xr2:uid="{F94270B7-245C-4C1F-AB5E-2C119B6FFB64}"/>
  </bookViews>
  <sheets>
    <sheet name="Cover" sheetId="1" r:id="rId1"/>
    <sheet name="EBITDA Analysis" sheetId="24" r:id="rId2"/>
    <sheet name="Financials &gt;&gt;" sheetId="22" r:id="rId3"/>
    <sheet name="Income Statement" sheetId="19" r:id="rId4"/>
    <sheet name="Balance Sheet" sheetId="23" r:id="rId5"/>
    <sheet name="Mapping&gt;&gt;" sheetId="15" r:id="rId6"/>
    <sheet name="Chart of Accounts" sheetId="14" r:id="rId7"/>
    <sheet name="Detailed IS" sheetId="18" r:id="rId8"/>
    <sheet name="Detailed BS" sheetId="21" r:id="rId9"/>
    <sheet name="Source Documents &gt;&gt;&gt;" sheetId="2" r:id="rId10"/>
    <sheet name="EBITDA" sheetId="4" r:id="rId11"/>
    <sheet name="Prof Fees" sheetId="3" r:id="rId12"/>
    <sheet name="2021 IS" sheetId="5" r:id="rId13"/>
    <sheet name="2022 IS" sheetId="6" r:id="rId14"/>
    <sheet name="2023 IS" sheetId="7" r:id="rId15"/>
    <sheet name="2024 IS" sheetId="8" r:id="rId16"/>
    <sheet name="2025 IS" sheetId="9" r:id="rId17"/>
    <sheet name="2022 BS" sheetId="10" r:id="rId18"/>
    <sheet name="2023 BS" sheetId="11" r:id="rId19"/>
    <sheet name="2024 BS" sheetId="12" r:id="rId20"/>
    <sheet name="Sep 2025 BS" sheetId="13" r:id="rId21"/>
  </sheets>
  <definedNames>
    <definedName name="_xlnm._FilterDatabase" localSheetId="6" hidden="1">'Chart of Accounts'!$B$5:$E$5</definedName>
    <definedName name="_xlnm._FilterDatabase" localSheetId="8" hidden="1">'Detailed BS'!$B$4:$J$46</definedName>
    <definedName name="_xlnm.Print_Area" localSheetId="4">'Balance Sheet'!$B$1:$I$48</definedName>
    <definedName name="_xlnm.Print_Area" localSheetId="6">'Chart of Accounts'!$B$1:$E$214</definedName>
    <definedName name="_xlnm.Print_Area" localSheetId="0">Cover!$A$1:$G$24</definedName>
    <definedName name="_xlnm.Print_Area" localSheetId="8">'Detailed BS'!$B$1:$J$51</definedName>
    <definedName name="_xlnm.Print_Area" localSheetId="7">'Detailed IS'!$B$1:$J$166</definedName>
    <definedName name="_xlnm.Print_Area" localSheetId="1">'EBITDA Analysis'!$B$1:$P$30</definedName>
    <definedName name="_xlnm.Print_Area" localSheetId="3">'Income Statement'!$B$1:$N$56</definedName>
    <definedName name="_xlnm.Print_Titles" localSheetId="12">'2021 IS'!$1:$2</definedName>
    <definedName name="_xlnm.Print_Titles" localSheetId="17">'2022 BS'!$1:$1</definedName>
    <definedName name="_xlnm.Print_Titles" localSheetId="13">'2022 IS'!$1:$2</definedName>
    <definedName name="_xlnm.Print_Titles" localSheetId="18">'2023 BS'!$1:$1</definedName>
    <definedName name="_xlnm.Print_Titles" localSheetId="14">'2023 IS'!$1:$2</definedName>
    <definedName name="_xlnm.Print_Titles" localSheetId="19">'2024 BS'!$1:$1</definedName>
    <definedName name="_xlnm.Print_Titles" localSheetId="15">'2024 IS'!$1:$2</definedName>
    <definedName name="_xlnm.Print_Titles" localSheetId="16">'2025 IS'!$1:$2</definedName>
    <definedName name="_xlnm.Print_Titles" localSheetId="20">'Sep 2025 BS'!$1:$1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4" l="1"/>
  <c r="N22" i="24"/>
  <c r="O22" i="24"/>
  <c r="P22" i="24"/>
  <c r="L22" i="24"/>
  <c r="M23" i="24"/>
  <c r="N23" i="24"/>
  <c r="O23" i="24"/>
  <c r="P23" i="24"/>
  <c r="L23" i="24"/>
  <c r="M20" i="24"/>
  <c r="N20" i="24"/>
  <c r="O20" i="24"/>
  <c r="P20" i="24"/>
  <c r="L20" i="24"/>
  <c r="M19" i="24"/>
  <c r="N19" i="24"/>
  <c r="O19" i="24"/>
  <c r="P19" i="24"/>
  <c r="L19" i="24"/>
  <c r="M13" i="24"/>
  <c r="N13" i="24"/>
  <c r="O13" i="24"/>
  <c r="P13" i="24"/>
  <c r="L13" i="24"/>
  <c r="M12" i="24"/>
  <c r="N12" i="24"/>
  <c r="O12" i="24"/>
  <c r="P12" i="24"/>
  <c r="L12" i="24"/>
  <c r="M11" i="24"/>
  <c r="N11" i="24"/>
  <c r="O11" i="24"/>
  <c r="P11" i="24"/>
  <c r="L11" i="24"/>
  <c r="M10" i="24"/>
  <c r="N10" i="24"/>
  <c r="O10" i="24"/>
  <c r="P10" i="24"/>
  <c r="L10" i="24"/>
  <c r="M9" i="24"/>
  <c r="N9" i="24"/>
  <c r="O9" i="24"/>
  <c r="P9" i="24"/>
  <c r="L9" i="24"/>
  <c r="M7" i="24"/>
  <c r="N7" i="24"/>
  <c r="O7" i="24"/>
  <c r="P7" i="24"/>
  <c r="L7" i="24"/>
  <c r="P25" i="24"/>
  <c r="O25" i="24"/>
  <c r="N25" i="24"/>
  <c r="M25" i="24"/>
  <c r="L25" i="24"/>
  <c r="P24" i="24"/>
  <c r="O24" i="24"/>
  <c r="N24" i="24"/>
  <c r="M24" i="24"/>
  <c r="L24" i="24"/>
  <c r="P21" i="24"/>
  <c r="O21" i="24"/>
  <c r="N21" i="24"/>
  <c r="N26" i="24" s="1"/>
  <c r="M21" i="24"/>
  <c r="M26" i="24" s="1"/>
  <c r="L21" i="24"/>
  <c r="N14" i="24"/>
  <c r="N16" i="24" s="1"/>
  <c r="M14" i="24"/>
  <c r="M5" i="24"/>
  <c r="N5" i="24" s="1"/>
  <c r="O5" i="24" s="1"/>
  <c r="P5" i="24" s="1"/>
  <c r="E28" i="24"/>
  <c r="F28" i="24"/>
  <c r="G28" i="24"/>
  <c r="H28" i="24"/>
  <c r="D28" i="24"/>
  <c r="E26" i="24"/>
  <c r="F26" i="24"/>
  <c r="G26" i="24"/>
  <c r="H26" i="24"/>
  <c r="D26" i="24"/>
  <c r="D20" i="24"/>
  <c r="E20" i="24"/>
  <c r="F20" i="24"/>
  <c r="G20" i="24"/>
  <c r="H20" i="24"/>
  <c r="D21" i="24"/>
  <c r="E21" i="24"/>
  <c r="F21" i="24"/>
  <c r="G21" i="24"/>
  <c r="H21" i="24"/>
  <c r="D22" i="24"/>
  <c r="E22" i="24"/>
  <c r="F22" i="24"/>
  <c r="G22" i="24"/>
  <c r="H22" i="24"/>
  <c r="D23" i="24"/>
  <c r="E23" i="24"/>
  <c r="F23" i="24"/>
  <c r="G23" i="24"/>
  <c r="H23" i="24"/>
  <c r="D24" i="24"/>
  <c r="E24" i="24"/>
  <c r="F24" i="24"/>
  <c r="G24" i="24"/>
  <c r="H24" i="24"/>
  <c r="D25" i="24"/>
  <c r="E25" i="24"/>
  <c r="F25" i="24"/>
  <c r="G25" i="24"/>
  <c r="H25" i="24"/>
  <c r="E19" i="24"/>
  <c r="F19" i="24"/>
  <c r="G19" i="24"/>
  <c r="H19" i="24"/>
  <c r="D19" i="24"/>
  <c r="E16" i="24"/>
  <c r="F16" i="24"/>
  <c r="G16" i="24"/>
  <c r="H16" i="24"/>
  <c r="D16" i="24"/>
  <c r="D10" i="24"/>
  <c r="E10" i="24"/>
  <c r="F10" i="24"/>
  <c r="F14" i="24" s="1"/>
  <c r="G10" i="24"/>
  <c r="H10" i="24"/>
  <c r="D11" i="24"/>
  <c r="E11" i="24"/>
  <c r="F11" i="24"/>
  <c r="G11" i="24"/>
  <c r="H11" i="24"/>
  <c r="D12" i="24"/>
  <c r="E12" i="24"/>
  <c r="F12" i="24"/>
  <c r="G12" i="24"/>
  <c r="H12" i="24"/>
  <c r="D13" i="24"/>
  <c r="E13" i="24"/>
  <c r="F13" i="24"/>
  <c r="G13" i="24"/>
  <c r="H13" i="24"/>
  <c r="E9" i="24"/>
  <c r="E14" i="24" s="1"/>
  <c r="F9" i="24"/>
  <c r="G9" i="24"/>
  <c r="G14" i="24" s="1"/>
  <c r="H9" i="24"/>
  <c r="H14" i="24" s="1"/>
  <c r="D9" i="24"/>
  <c r="D14" i="24" s="1"/>
  <c r="E5" i="24"/>
  <c r="F5" i="24" s="1"/>
  <c r="G5" i="24" s="1"/>
  <c r="H5" i="24" s="1"/>
  <c r="E7" i="24"/>
  <c r="F7" i="24"/>
  <c r="G7" i="24"/>
  <c r="H7" i="24"/>
  <c r="D7" i="24"/>
  <c r="D12" i="23"/>
  <c r="E12" i="23"/>
  <c r="F12" i="23"/>
  <c r="G12" i="23"/>
  <c r="H12" i="23"/>
  <c r="H43" i="23"/>
  <c r="G43" i="23"/>
  <c r="F43" i="23"/>
  <c r="E43" i="23"/>
  <c r="D43" i="23"/>
  <c r="H42" i="23"/>
  <c r="G42" i="23"/>
  <c r="F42" i="23"/>
  <c r="E42" i="23"/>
  <c r="D42" i="23"/>
  <c r="H41" i="23"/>
  <c r="G41" i="23"/>
  <c r="F41" i="23"/>
  <c r="E41" i="23"/>
  <c r="D41" i="23"/>
  <c r="H40" i="23"/>
  <c r="G40" i="23"/>
  <c r="F40" i="23"/>
  <c r="E40" i="23"/>
  <c r="E44" i="23" s="1"/>
  <c r="E46" i="23" s="1"/>
  <c r="D40" i="23"/>
  <c r="H36" i="23"/>
  <c r="G36" i="23"/>
  <c r="F36" i="23"/>
  <c r="E36" i="23"/>
  <c r="D36" i="23"/>
  <c r="H35" i="23"/>
  <c r="G35" i="23"/>
  <c r="F35" i="23"/>
  <c r="F37" i="23" s="1"/>
  <c r="E35" i="23"/>
  <c r="E37" i="23" s="1"/>
  <c r="D35" i="23"/>
  <c r="D37" i="23" s="1"/>
  <c r="H34" i="23"/>
  <c r="H37" i="23" s="1"/>
  <c r="G34" i="23"/>
  <c r="F34" i="23"/>
  <c r="E34" i="23"/>
  <c r="D34" i="23"/>
  <c r="D20" i="23"/>
  <c r="E20" i="23"/>
  <c r="F20" i="23"/>
  <c r="G20" i="23"/>
  <c r="H20" i="23"/>
  <c r="D21" i="23"/>
  <c r="E21" i="23"/>
  <c r="F21" i="23"/>
  <c r="G21" i="23"/>
  <c r="H21" i="23"/>
  <c r="D22" i="23"/>
  <c r="E22" i="23"/>
  <c r="F22" i="23"/>
  <c r="G22" i="23"/>
  <c r="H22" i="23"/>
  <c r="D23" i="23"/>
  <c r="E23" i="23"/>
  <c r="F23" i="23"/>
  <c r="G23" i="23"/>
  <c r="H23" i="23"/>
  <c r="D24" i="23"/>
  <c r="E24" i="23"/>
  <c r="F24" i="23"/>
  <c r="G24" i="23"/>
  <c r="H24" i="23"/>
  <c r="D25" i="23"/>
  <c r="E25" i="23"/>
  <c r="F25" i="23"/>
  <c r="G25" i="23"/>
  <c r="H25" i="23"/>
  <c r="D26" i="23"/>
  <c r="E26" i="23"/>
  <c r="F26" i="23"/>
  <c r="G26" i="23"/>
  <c r="H26" i="23"/>
  <c r="D27" i="23"/>
  <c r="E27" i="23"/>
  <c r="F27" i="23"/>
  <c r="G27" i="23"/>
  <c r="H27" i="23"/>
  <c r="H19" i="23"/>
  <c r="G19" i="23"/>
  <c r="F19" i="23"/>
  <c r="E19" i="23"/>
  <c r="D19" i="23"/>
  <c r="D10" i="23"/>
  <c r="E10" i="23"/>
  <c r="F10" i="23"/>
  <c r="G10" i="23"/>
  <c r="H10" i="23"/>
  <c r="D11" i="23"/>
  <c r="E11" i="23"/>
  <c r="F11" i="23"/>
  <c r="G11" i="23"/>
  <c r="H11" i="23"/>
  <c r="D13" i="23"/>
  <c r="D16" i="23" s="1"/>
  <c r="E13" i="23"/>
  <c r="F13" i="23"/>
  <c r="G13" i="23"/>
  <c r="H13" i="23"/>
  <c r="D14" i="23"/>
  <c r="E14" i="23"/>
  <c r="F14" i="23"/>
  <c r="G14" i="23"/>
  <c r="H14" i="23"/>
  <c r="D15" i="23"/>
  <c r="E15" i="23"/>
  <c r="F15" i="23"/>
  <c r="G15" i="23"/>
  <c r="H15" i="23"/>
  <c r="E9" i="23"/>
  <c r="F9" i="23"/>
  <c r="G9" i="23"/>
  <c r="H9" i="23"/>
  <c r="D9" i="23"/>
  <c r="E6" i="23"/>
  <c r="F6" i="23" s="1"/>
  <c r="G6" i="23" s="1"/>
  <c r="H6" i="23" s="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" i="21"/>
  <c r="D6" i="18"/>
  <c r="D7" i="18"/>
  <c r="D8" i="18"/>
  <c r="D9" i="18"/>
  <c r="D10" i="18"/>
  <c r="D11" i="18"/>
  <c r="D12" i="18"/>
  <c r="D13" i="18"/>
  <c r="E34" i="19" s="1"/>
  <c r="D14" i="18"/>
  <c r="E29" i="19" s="1"/>
  <c r="D15" i="18"/>
  <c r="F46" i="19" s="1"/>
  <c r="D16" i="18"/>
  <c r="H21" i="19" s="1"/>
  <c r="D17" i="18"/>
  <c r="D49" i="19" s="1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5" i="18"/>
  <c r="F36" i="19" s="1"/>
  <c r="C28" i="21"/>
  <c r="J51" i="21"/>
  <c r="J50" i="21"/>
  <c r="J49" i="21"/>
  <c r="J48" i="21"/>
  <c r="J47" i="21"/>
  <c r="J46" i="21"/>
  <c r="J45" i="21"/>
  <c r="J44" i="21"/>
  <c r="J43" i="21"/>
  <c r="J42" i="21"/>
  <c r="J41" i="21"/>
  <c r="J40" i="21"/>
  <c r="J39" i="21"/>
  <c r="J38" i="21"/>
  <c r="J37" i="21"/>
  <c r="J36" i="21"/>
  <c r="J35" i="21"/>
  <c r="J34" i="21"/>
  <c r="J33" i="21"/>
  <c r="J32" i="21"/>
  <c r="J31" i="21"/>
  <c r="J30" i="21"/>
  <c r="J29" i="21"/>
  <c r="J28" i="21"/>
  <c r="J27" i="21"/>
  <c r="J26" i="21"/>
  <c r="J25" i="21"/>
  <c r="J24" i="21"/>
  <c r="J23" i="21"/>
  <c r="J22" i="21"/>
  <c r="J21" i="21"/>
  <c r="J20" i="21"/>
  <c r="J19" i="21"/>
  <c r="J18" i="21"/>
  <c r="J17" i="21"/>
  <c r="J16" i="21"/>
  <c r="J15" i="21"/>
  <c r="J14" i="21"/>
  <c r="J13" i="21"/>
  <c r="J12" i="21"/>
  <c r="J11" i="21"/>
  <c r="J10" i="21"/>
  <c r="J9" i="21"/>
  <c r="J8" i="21"/>
  <c r="J7" i="21"/>
  <c r="J6" i="21"/>
  <c r="J5" i="21"/>
  <c r="I51" i="21"/>
  <c r="I50" i="21"/>
  <c r="I49" i="21"/>
  <c r="I48" i="21"/>
  <c r="I47" i="21"/>
  <c r="I46" i="21"/>
  <c r="I45" i="21"/>
  <c r="I44" i="21"/>
  <c r="I43" i="21"/>
  <c r="I42" i="21"/>
  <c r="I41" i="21"/>
  <c r="I40" i="21"/>
  <c r="I39" i="21"/>
  <c r="I38" i="21"/>
  <c r="I37" i="21"/>
  <c r="I36" i="21"/>
  <c r="I35" i="21"/>
  <c r="I34" i="21"/>
  <c r="I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9" i="21"/>
  <c r="G38" i="21"/>
  <c r="G37" i="21"/>
  <c r="G36" i="21"/>
  <c r="G35" i="21"/>
  <c r="G34" i="21"/>
  <c r="G33" i="21"/>
  <c r="G32" i="21"/>
  <c r="G31" i="21"/>
  <c r="G30" i="21"/>
  <c r="G29" i="21"/>
  <c r="G28" i="21"/>
  <c r="G27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G7" i="21"/>
  <c r="G6" i="21"/>
  <c r="G5" i="21"/>
  <c r="F51" i="21"/>
  <c r="F50" i="21"/>
  <c r="F49" i="21"/>
  <c r="F48" i="21"/>
  <c r="F47" i="21"/>
  <c r="F46" i="21"/>
  <c r="F45" i="21"/>
  <c r="F44" i="21"/>
  <c r="F43" i="21"/>
  <c r="F42" i="21"/>
  <c r="F41" i="21"/>
  <c r="F40" i="21"/>
  <c r="F39" i="21"/>
  <c r="F38" i="21"/>
  <c r="F37" i="21"/>
  <c r="F36" i="21"/>
  <c r="F35" i="21"/>
  <c r="F34" i="21"/>
  <c r="F33" i="21"/>
  <c r="F32" i="21"/>
  <c r="F31" i="21"/>
  <c r="F30" i="21"/>
  <c r="F29" i="21"/>
  <c r="F28" i="21"/>
  <c r="F27" i="21"/>
  <c r="F26" i="21"/>
  <c r="F25" i="21"/>
  <c r="F24" i="21"/>
  <c r="F23" i="21"/>
  <c r="F22" i="21"/>
  <c r="F21" i="21"/>
  <c r="F20" i="21"/>
  <c r="F19" i="21"/>
  <c r="F18" i="21"/>
  <c r="F17" i="21"/>
  <c r="F16" i="21"/>
  <c r="F15" i="21"/>
  <c r="F14" i="21"/>
  <c r="F13" i="21"/>
  <c r="F12" i="21"/>
  <c r="F11" i="21"/>
  <c r="F10" i="21"/>
  <c r="F9" i="21"/>
  <c r="F8" i="21"/>
  <c r="F7" i="21"/>
  <c r="F6" i="21"/>
  <c r="F5" i="21"/>
  <c r="A63" i="10"/>
  <c r="A64" i="10"/>
  <c r="A65" i="10"/>
  <c r="A62" i="10"/>
  <c r="C41" i="21"/>
  <c r="C40" i="21"/>
  <c r="C39" i="21"/>
  <c r="C37" i="21"/>
  <c r="C32" i="21"/>
  <c r="C27" i="21"/>
  <c r="C19" i="21"/>
  <c r="C18" i="21"/>
  <c r="C17" i="21"/>
  <c r="C16" i="21"/>
  <c r="C15" i="21"/>
  <c r="C12" i="21"/>
  <c r="C10" i="21"/>
  <c r="G4" i="21"/>
  <c r="H4" i="21" s="1"/>
  <c r="I4" i="21" s="1"/>
  <c r="J4" i="21" s="1"/>
  <c r="C48" i="14"/>
  <c r="C46" i="21" s="1"/>
  <c r="C25" i="14"/>
  <c r="C24" i="21" s="1"/>
  <c r="C31" i="14"/>
  <c r="C30" i="21" s="1"/>
  <c r="C41" i="14"/>
  <c r="C46" i="14"/>
  <c r="C45" i="21" s="1"/>
  <c r="C45" i="14"/>
  <c r="C44" i="21" s="1"/>
  <c r="C44" i="14"/>
  <c r="C43" i="21" s="1"/>
  <c r="C43" i="14"/>
  <c r="C42" i="21" s="1"/>
  <c r="C42" i="14"/>
  <c r="C39" i="14"/>
  <c r="C38" i="21" s="1"/>
  <c r="C37" i="14"/>
  <c r="C36" i="21" s="1"/>
  <c r="C36" i="14"/>
  <c r="C35" i="21" s="1"/>
  <c r="C29" i="14"/>
  <c r="C28" i="14"/>
  <c r="C27" i="14"/>
  <c r="C26" i="21" s="1"/>
  <c r="C26" i="14"/>
  <c r="C25" i="21" s="1"/>
  <c r="C24" i="14"/>
  <c r="C23" i="21" s="1"/>
  <c r="C23" i="14"/>
  <c r="C22" i="21" s="1"/>
  <c r="C22" i="14"/>
  <c r="C21" i="21" s="1"/>
  <c r="C21" i="14"/>
  <c r="C20" i="21" s="1"/>
  <c r="C35" i="14"/>
  <c r="C34" i="21" s="1"/>
  <c r="C34" i="14"/>
  <c r="C33" i="21" s="1"/>
  <c r="C32" i="14"/>
  <c r="C31" i="21" s="1"/>
  <c r="C30" i="14"/>
  <c r="C29" i="21" s="1"/>
  <c r="C20" i="14"/>
  <c r="C19" i="14"/>
  <c r="C18" i="14"/>
  <c r="C17" i="14"/>
  <c r="C16" i="14"/>
  <c r="C15" i="14"/>
  <c r="C14" i="21" s="1"/>
  <c r="C10" i="14"/>
  <c r="C9" i="21" s="1"/>
  <c r="C9" i="14"/>
  <c r="C8" i="21" s="1"/>
  <c r="C12" i="14"/>
  <c r="C11" i="21" s="1"/>
  <c r="C14" i="14"/>
  <c r="C13" i="21" s="1"/>
  <c r="C8" i="14"/>
  <c r="C7" i="21" s="1"/>
  <c r="C7" i="14"/>
  <c r="C6" i="21" s="1"/>
  <c r="C6" i="14"/>
  <c r="C5" i="21" s="1"/>
  <c r="K6" i="19"/>
  <c r="L6" i="19" s="1"/>
  <c r="M6" i="19" s="1"/>
  <c r="N6" i="19" s="1"/>
  <c r="H38" i="19"/>
  <c r="F19" i="19"/>
  <c r="E6" i="19"/>
  <c r="F6" i="19" s="1"/>
  <c r="G6" i="19" s="1"/>
  <c r="H6" i="19" s="1"/>
  <c r="J160" i="18"/>
  <c r="J158" i="18"/>
  <c r="J157" i="18"/>
  <c r="J156" i="18"/>
  <c r="J154" i="18"/>
  <c r="J166" i="18"/>
  <c r="J164" i="18"/>
  <c r="J163" i="18"/>
  <c r="J162" i="18"/>
  <c r="J161" i="18"/>
  <c r="J135" i="18"/>
  <c r="J122" i="18"/>
  <c r="J109" i="18"/>
  <c r="J96" i="18"/>
  <c r="J84" i="18"/>
  <c r="J72" i="18"/>
  <c r="J60" i="18"/>
  <c r="J48" i="18"/>
  <c r="J36" i="18"/>
  <c r="J24" i="18"/>
  <c r="J12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H166" i="18"/>
  <c r="H165" i="18"/>
  <c r="H164" i="18"/>
  <c r="H163" i="18"/>
  <c r="H162" i="18"/>
  <c r="H161" i="18"/>
  <c r="H160" i="18"/>
  <c r="H159" i="18"/>
  <c r="H158" i="18"/>
  <c r="H157" i="18"/>
  <c r="H156" i="18"/>
  <c r="H155" i="18"/>
  <c r="H154" i="18"/>
  <c r="H153" i="18"/>
  <c r="H152" i="18"/>
  <c r="H151" i="18"/>
  <c r="H150" i="18"/>
  <c r="H149" i="18"/>
  <c r="H148" i="18"/>
  <c r="H147" i="18"/>
  <c r="H146" i="18"/>
  <c r="H145" i="18"/>
  <c r="H144" i="18"/>
  <c r="H143" i="18"/>
  <c r="H142" i="18"/>
  <c r="H141" i="18"/>
  <c r="H140" i="18"/>
  <c r="H139" i="18"/>
  <c r="H138" i="18"/>
  <c r="H137" i="18"/>
  <c r="H136" i="18"/>
  <c r="H135" i="18"/>
  <c r="H134" i="18"/>
  <c r="H133" i="18"/>
  <c r="H132" i="18"/>
  <c r="H131" i="18"/>
  <c r="H130" i="18"/>
  <c r="H129" i="18"/>
  <c r="H128" i="18"/>
  <c r="H127" i="18"/>
  <c r="H126" i="18"/>
  <c r="H125" i="18"/>
  <c r="H124" i="18"/>
  <c r="H123" i="18"/>
  <c r="H122" i="18"/>
  <c r="H121" i="18"/>
  <c r="H120" i="18"/>
  <c r="H119" i="18"/>
  <c r="H118" i="18"/>
  <c r="H117" i="18"/>
  <c r="H116" i="18"/>
  <c r="H115" i="18"/>
  <c r="H114" i="18"/>
  <c r="H113" i="18"/>
  <c r="H112" i="18"/>
  <c r="H111" i="18"/>
  <c r="H110" i="18"/>
  <c r="H109" i="18"/>
  <c r="H108" i="18"/>
  <c r="H107" i="18"/>
  <c r="H106" i="18"/>
  <c r="H105" i="18"/>
  <c r="H104" i="18"/>
  <c r="H103" i="18"/>
  <c r="H102" i="18"/>
  <c r="H101" i="18"/>
  <c r="H100" i="18"/>
  <c r="H99" i="18"/>
  <c r="H98" i="18"/>
  <c r="H97" i="18"/>
  <c r="H96" i="18"/>
  <c r="H95" i="18"/>
  <c r="H94" i="18"/>
  <c r="H93" i="18"/>
  <c r="H92" i="18"/>
  <c r="H91" i="18"/>
  <c r="H90" i="18"/>
  <c r="H89" i="18"/>
  <c r="H88" i="18"/>
  <c r="H87" i="18"/>
  <c r="H86" i="18"/>
  <c r="H85" i="18"/>
  <c r="H84" i="18"/>
  <c r="H83" i="18"/>
  <c r="H82" i="18"/>
  <c r="H81" i="18"/>
  <c r="H80" i="18"/>
  <c r="H79" i="18"/>
  <c r="H78" i="18"/>
  <c r="H77" i="18"/>
  <c r="H76" i="18"/>
  <c r="H75" i="18"/>
  <c r="H74" i="18"/>
  <c r="H73" i="18"/>
  <c r="H72" i="18"/>
  <c r="H71" i="18"/>
  <c r="H70" i="18"/>
  <c r="H69" i="18"/>
  <c r="H68" i="18"/>
  <c r="H67" i="18"/>
  <c r="H66" i="18"/>
  <c r="H65" i="18"/>
  <c r="H64" i="18"/>
  <c r="H63" i="18"/>
  <c r="H62" i="18"/>
  <c r="H61" i="18"/>
  <c r="H60" i="18"/>
  <c r="H59" i="18"/>
  <c r="H58" i="18"/>
  <c r="H57" i="18"/>
  <c r="H56" i="18"/>
  <c r="H55" i="18"/>
  <c r="H54" i="18"/>
  <c r="H53" i="18"/>
  <c r="H52" i="18"/>
  <c r="H51" i="18"/>
  <c r="H50" i="18"/>
  <c r="H49" i="18"/>
  <c r="H48" i="18"/>
  <c r="H47" i="18"/>
  <c r="H46" i="18"/>
  <c r="H45" i="18"/>
  <c r="H44" i="18"/>
  <c r="H43" i="18"/>
  <c r="H42" i="18"/>
  <c r="H41" i="18"/>
  <c r="H40" i="18"/>
  <c r="H39" i="18"/>
  <c r="H38" i="18"/>
  <c r="H37" i="18"/>
  <c r="H36" i="18"/>
  <c r="H35" i="18"/>
  <c r="H34" i="18"/>
  <c r="H33" i="18"/>
  <c r="H32" i="18"/>
  <c r="H31" i="18"/>
  <c r="H30" i="18"/>
  <c r="H29" i="18"/>
  <c r="H28" i="18"/>
  <c r="H27" i="18"/>
  <c r="H26" i="18"/>
  <c r="H25" i="18"/>
  <c r="H24" i="18"/>
  <c r="H23" i="18"/>
  <c r="H22" i="18"/>
  <c r="H21" i="18"/>
  <c r="H20" i="18"/>
  <c r="H19" i="18"/>
  <c r="H18" i="18"/>
  <c r="H17" i="18"/>
  <c r="H16" i="18"/>
  <c r="H15" i="18"/>
  <c r="H14" i="18"/>
  <c r="H13" i="18"/>
  <c r="H12" i="18"/>
  <c r="H11" i="18"/>
  <c r="H10" i="18"/>
  <c r="H9" i="18"/>
  <c r="H8" i="18"/>
  <c r="H7" i="18"/>
  <c r="H6" i="18"/>
  <c r="H5" i="18"/>
  <c r="G166" i="18"/>
  <c r="G165" i="18"/>
  <c r="G164" i="18"/>
  <c r="G163" i="18"/>
  <c r="G162" i="18"/>
  <c r="G161" i="18"/>
  <c r="G160" i="18"/>
  <c r="G159" i="18"/>
  <c r="G158" i="18"/>
  <c r="G157" i="18"/>
  <c r="G156" i="18"/>
  <c r="G155" i="18"/>
  <c r="G154" i="18"/>
  <c r="G153" i="18"/>
  <c r="G152" i="18"/>
  <c r="G151" i="18"/>
  <c r="G150" i="18"/>
  <c r="G149" i="18"/>
  <c r="G148" i="18"/>
  <c r="G147" i="18"/>
  <c r="G146" i="18"/>
  <c r="G145" i="18"/>
  <c r="G144" i="18"/>
  <c r="G143" i="18"/>
  <c r="G142" i="18"/>
  <c r="G141" i="18"/>
  <c r="G140" i="18"/>
  <c r="G139" i="18"/>
  <c r="G138" i="18"/>
  <c r="G137" i="18"/>
  <c r="G136" i="18"/>
  <c r="G135" i="18"/>
  <c r="G134" i="18"/>
  <c r="G133" i="18"/>
  <c r="G132" i="18"/>
  <c r="G131" i="18"/>
  <c r="G130" i="18"/>
  <c r="G129" i="18"/>
  <c r="G128" i="18"/>
  <c r="G127" i="18"/>
  <c r="G126" i="18"/>
  <c r="G125" i="18"/>
  <c r="G124" i="18"/>
  <c r="G123" i="18"/>
  <c r="G122" i="18"/>
  <c r="G121" i="18"/>
  <c r="G120" i="18"/>
  <c r="G119" i="18"/>
  <c r="G118" i="18"/>
  <c r="G117" i="18"/>
  <c r="G116" i="18"/>
  <c r="G115" i="18"/>
  <c r="G114" i="18"/>
  <c r="G113" i="18"/>
  <c r="G112" i="18"/>
  <c r="G111" i="18"/>
  <c r="G110" i="18"/>
  <c r="G109" i="18"/>
  <c r="G108" i="18"/>
  <c r="G107" i="18"/>
  <c r="G106" i="18"/>
  <c r="G105" i="18"/>
  <c r="G104" i="18"/>
  <c r="G103" i="18"/>
  <c r="G102" i="18"/>
  <c r="G101" i="18"/>
  <c r="G100" i="18"/>
  <c r="G99" i="18"/>
  <c r="G98" i="18"/>
  <c r="G97" i="18"/>
  <c r="G96" i="18"/>
  <c r="G95" i="18"/>
  <c r="G94" i="18"/>
  <c r="G93" i="18"/>
  <c r="G92" i="18"/>
  <c r="G91" i="18"/>
  <c r="G90" i="18"/>
  <c r="G89" i="18"/>
  <c r="G88" i="18"/>
  <c r="G87" i="18"/>
  <c r="G86" i="18"/>
  <c r="G85" i="18"/>
  <c r="G84" i="18"/>
  <c r="G83" i="18"/>
  <c r="G82" i="18"/>
  <c r="G81" i="18"/>
  <c r="G80" i="18"/>
  <c r="G79" i="18"/>
  <c r="G78" i="18"/>
  <c r="G77" i="18"/>
  <c r="G76" i="18"/>
  <c r="G75" i="18"/>
  <c r="G74" i="18"/>
  <c r="G73" i="18"/>
  <c r="G72" i="18"/>
  <c r="G71" i="18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F166" i="18"/>
  <c r="F165" i="18"/>
  <c r="F164" i="18"/>
  <c r="F163" i="18"/>
  <c r="F162" i="18"/>
  <c r="F161" i="18"/>
  <c r="F160" i="18"/>
  <c r="F159" i="18"/>
  <c r="F158" i="18"/>
  <c r="F157" i="18"/>
  <c r="F156" i="18"/>
  <c r="F155" i="18"/>
  <c r="F154" i="18"/>
  <c r="F153" i="18"/>
  <c r="F152" i="18"/>
  <c r="F151" i="18"/>
  <c r="F150" i="18"/>
  <c r="F149" i="18"/>
  <c r="F148" i="18"/>
  <c r="F147" i="18"/>
  <c r="F146" i="18"/>
  <c r="F145" i="18"/>
  <c r="F144" i="18"/>
  <c r="F143" i="18"/>
  <c r="F142" i="18"/>
  <c r="F141" i="18"/>
  <c r="F140" i="18"/>
  <c r="F139" i="18"/>
  <c r="F138" i="18"/>
  <c r="F137" i="18"/>
  <c r="F136" i="18"/>
  <c r="F135" i="18"/>
  <c r="F134" i="18"/>
  <c r="F133" i="18"/>
  <c r="F132" i="18"/>
  <c r="F131" i="18"/>
  <c r="F130" i="18"/>
  <c r="F129" i="18"/>
  <c r="F128" i="18"/>
  <c r="F127" i="18"/>
  <c r="F126" i="18"/>
  <c r="F125" i="18"/>
  <c r="F124" i="18"/>
  <c r="F123" i="18"/>
  <c r="F122" i="18"/>
  <c r="F121" i="18"/>
  <c r="F120" i="18"/>
  <c r="F119" i="18"/>
  <c r="F118" i="18"/>
  <c r="F117" i="18"/>
  <c r="F116" i="18"/>
  <c r="F115" i="18"/>
  <c r="F114" i="18"/>
  <c r="F113" i="18"/>
  <c r="F112" i="18"/>
  <c r="F111" i="18"/>
  <c r="F110" i="18"/>
  <c r="F109" i="18"/>
  <c r="F108" i="18"/>
  <c r="F107" i="18"/>
  <c r="F106" i="18"/>
  <c r="F105" i="18"/>
  <c r="F104" i="18"/>
  <c r="F103" i="18"/>
  <c r="F102" i="18"/>
  <c r="F101" i="18"/>
  <c r="F100" i="18"/>
  <c r="F99" i="18"/>
  <c r="F98" i="18"/>
  <c r="F97" i="18"/>
  <c r="F96" i="18"/>
  <c r="F95" i="18"/>
  <c r="F94" i="18"/>
  <c r="F93" i="18"/>
  <c r="F92" i="18"/>
  <c r="F91" i="18"/>
  <c r="F90" i="18"/>
  <c r="F89" i="18"/>
  <c r="F88" i="18"/>
  <c r="F87" i="18"/>
  <c r="F86" i="18"/>
  <c r="F85" i="18"/>
  <c r="F84" i="18"/>
  <c r="F83" i="18"/>
  <c r="F82" i="18"/>
  <c r="F81" i="18"/>
  <c r="F80" i="18"/>
  <c r="F79" i="18"/>
  <c r="F78" i="18"/>
  <c r="F77" i="18"/>
  <c r="F76" i="18"/>
  <c r="F75" i="18"/>
  <c r="F74" i="18"/>
  <c r="F73" i="18"/>
  <c r="F72" i="18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G4" i="18"/>
  <c r="H4" i="18" s="1"/>
  <c r="I4" i="18" s="1"/>
  <c r="J4" i="18" s="1"/>
  <c r="D9" i="4"/>
  <c r="D15" i="4" s="1"/>
  <c r="D27" i="4" s="1"/>
  <c r="E9" i="4"/>
  <c r="E15" i="4" s="1"/>
  <c r="E27" i="4" s="1"/>
  <c r="G9" i="4"/>
  <c r="G15" i="4" s="1"/>
  <c r="G27" i="4" s="1"/>
  <c r="E13" i="4"/>
  <c r="G13" i="4"/>
  <c r="H13" i="4"/>
  <c r="F15" i="4"/>
  <c r="H15" i="4"/>
  <c r="D21" i="4"/>
  <c r="D25" i="4" s="1"/>
  <c r="E21" i="4"/>
  <c r="E25" i="4" s="1"/>
  <c r="F21" i="4"/>
  <c r="F25" i="4" s="1"/>
  <c r="F27" i="4" s="1"/>
  <c r="G21" i="4"/>
  <c r="G25" i="4" s="1"/>
  <c r="H21" i="4"/>
  <c r="H25" i="4" s="1"/>
  <c r="H27" i="4" s="1"/>
  <c r="E22" i="4"/>
  <c r="F22" i="4"/>
  <c r="G23" i="4"/>
  <c r="C8" i="3"/>
  <c r="C20" i="3"/>
  <c r="G20" i="3"/>
  <c r="C35" i="3"/>
  <c r="G35" i="3"/>
  <c r="C44" i="3"/>
  <c r="C56" i="3"/>
  <c r="L26" i="24" l="1"/>
  <c r="O26" i="24"/>
  <c r="P26" i="24"/>
  <c r="P14" i="24"/>
  <c r="L14" i="24"/>
  <c r="L16" i="24" s="1"/>
  <c r="L28" i="24" s="1"/>
  <c r="O14" i="24"/>
  <c r="O16" i="24" s="1"/>
  <c r="P16" i="24"/>
  <c r="P28" i="24" s="1"/>
  <c r="N28" i="24"/>
  <c r="M16" i="24"/>
  <c r="M28" i="24" s="1"/>
  <c r="G44" i="23"/>
  <c r="F44" i="23"/>
  <c r="F46" i="23" s="1"/>
  <c r="H44" i="23"/>
  <c r="H46" i="23" s="1"/>
  <c r="E28" i="23"/>
  <c r="F28" i="23"/>
  <c r="G28" i="23"/>
  <c r="F16" i="23"/>
  <c r="H28" i="23"/>
  <c r="H30" i="23" s="1"/>
  <c r="D28" i="23"/>
  <c r="D30" i="23" s="1"/>
  <c r="G37" i="23"/>
  <c r="D44" i="23"/>
  <c r="D46" i="23" s="1"/>
  <c r="F30" i="23"/>
  <c r="F48" i="23" s="1"/>
  <c r="E16" i="23"/>
  <c r="G16" i="23"/>
  <c r="H16" i="23"/>
  <c r="G30" i="23"/>
  <c r="E46" i="19"/>
  <c r="D22" i="19"/>
  <c r="G48" i="19"/>
  <c r="F29" i="19"/>
  <c r="F10" i="19"/>
  <c r="E17" i="19"/>
  <c r="G36" i="19"/>
  <c r="H54" i="19"/>
  <c r="D39" i="19"/>
  <c r="H48" i="19"/>
  <c r="G10" i="19"/>
  <c r="G31" i="19"/>
  <c r="G19" i="19"/>
  <c r="D34" i="19"/>
  <c r="H31" i="19"/>
  <c r="G14" i="19"/>
  <c r="H14" i="19"/>
  <c r="D17" i="19"/>
  <c r="E10" i="19"/>
  <c r="F17" i="19"/>
  <c r="E22" i="19"/>
  <c r="D32" i="19"/>
  <c r="H36" i="19"/>
  <c r="G46" i="19"/>
  <c r="E15" i="19"/>
  <c r="D20" i="19"/>
  <c r="H29" i="19"/>
  <c r="G34" i="19"/>
  <c r="F39" i="19"/>
  <c r="E49" i="19"/>
  <c r="H9" i="19"/>
  <c r="H17" i="19"/>
  <c r="G22" i="19"/>
  <c r="F32" i="19"/>
  <c r="E37" i="19"/>
  <c r="D47" i="19"/>
  <c r="G9" i="19"/>
  <c r="D18" i="19"/>
  <c r="F20" i="19"/>
  <c r="E30" i="19"/>
  <c r="G32" i="19"/>
  <c r="D35" i="19"/>
  <c r="F37" i="19"/>
  <c r="H39" i="19"/>
  <c r="E47" i="19"/>
  <c r="D8" i="19"/>
  <c r="H15" i="19"/>
  <c r="G20" i="19"/>
  <c r="D28" i="19"/>
  <c r="H32" i="19"/>
  <c r="E35" i="19"/>
  <c r="G37" i="19"/>
  <c r="F47" i="19"/>
  <c r="H49" i="19"/>
  <c r="H8" i="19"/>
  <c r="E9" i="19"/>
  <c r="D16" i="19"/>
  <c r="F18" i="19"/>
  <c r="H20" i="19"/>
  <c r="E28" i="19"/>
  <c r="G30" i="19"/>
  <c r="D33" i="19"/>
  <c r="F35" i="19"/>
  <c r="H37" i="19"/>
  <c r="E45" i="19"/>
  <c r="G47" i="19"/>
  <c r="D54" i="19"/>
  <c r="G8" i="19"/>
  <c r="D9" i="19"/>
  <c r="E16" i="19"/>
  <c r="G18" i="19"/>
  <c r="D21" i="19"/>
  <c r="F28" i="19"/>
  <c r="H30" i="19"/>
  <c r="E33" i="19"/>
  <c r="G35" i="19"/>
  <c r="D38" i="19"/>
  <c r="F45" i="19"/>
  <c r="H47" i="19"/>
  <c r="E54" i="19"/>
  <c r="D15" i="19"/>
  <c r="H19" i="19"/>
  <c r="G29" i="19"/>
  <c r="F34" i="19"/>
  <c r="E39" i="19"/>
  <c r="D10" i="19"/>
  <c r="G17" i="19"/>
  <c r="F22" i="19"/>
  <c r="E32" i="19"/>
  <c r="D37" i="19"/>
  <c r="H46" i="19"/>
  <c r="F15" i="19"/>
  <c r="E20" i="19"/>
  <c r="D30" i="19"/>
  <c r="H34" i="19"/>
  <c r="G39" i="19"/>
  <c r="F49" i="19"/>
  <c r="G15" i="19"/>
  <c r="H22" i="19"/>
  <c r="G49" i="19"/>
  <c r="F9" i="19"/>
  <c r="E18" i="19"/>
  <c r="F30" i="19"/>
  <c r="D45" i="19"/>
  <c r="F8" i="19"/>
  <c r="D14" i="19"/>
  <c r="F16" i="19"/>
  <c r="H18" i="19"/>
  <c r="E21" i="19"/>
  <c r="G28" i="19"/>
  <c r="D31" i="19"/>
  <c r="F33" i="19"/>
  <c r="H35" i="19"/>
  <c r="E38" i="19"/>
  <c r="G45" i="19"/>
  <c r="D48" i="19"/>
  <c r="F54" i="19"/>
  <c r="E8" i="19"/>
  <c r="E11" i="19" s="1"/>
  <c r="K10" i="19" s="1"/>
  <c r="E14" i="19"/>
  <c r="E23" i="19" s="1"/>
  <c r="G16" i="19"/>
  <c r="D19" i="19"/>
  <c r="F21" i="19"/>
  <c r="H28" i="19"/>
  <c r="E31" i="19"/>
  <c r="G33" i="19"/>
  <c r="D36" i="19"/>
  <c r="F38" i="19"/>
  <c r="H45" i="19"/>
  <c r="E48" i="19"/>
  <c r="G54" i="19"/>
  <c r="H10" i="19"/>
  <c r="H11" i="19" s="1"/>
  <c r="F14" i="19"/>
  <c r="H16" i="19"/>
  <c r="E19" i="19"/>
  <c r="G21" i="19"/>
  <c r="D29" i="19"/>
  <c r="F31" i="19"/>
  <c r="H33" i="19"/>
  <c r="E36" i="19"/>
  <c r="G38" i="19"/>
  <c r="D46" i="19"/>
  <c r="F48" i="19"/>
  <c r="J16" i="18"/>
  <c r="J28" i="18"/>
  <c r="J40" i="18"/>
  <c r="J52" i="18"/>
  <c r="J64" i="18"/>
  <c r="J76" i="18"/>
  <c r="J88" i="18"/>
  <c r="J100" i="18"/>
  <c r="J113" i="18"/>
  <c r="J126" i="18"/>
  <c r="J139" i="18"/>
  <c r="J152" i="18"/>
  <c r="J5" i="18"/>
  <c r="J17" i="18"/>
  <c r="J29" i="18"/>
  <c r="J41" i="18"/>
  <c r="J53" i="18"/>
  <c r="J65" i="18"/>
  <c r="J77" i="18"/>
  <c r="J89" i="18"/>
  <c r="J101" i="18"/>
  <c r="J114" i="18"/>
  <c r="J127" i="18"/>
  <c r="J140" i="18"/>
  <c r="J165" i="18"/>
  <c r="J6" i="18"/>
  <c r="J18" i="18"/>
  <c r="J30" i="18"/>
  <c r="J42" i="18"/>
  <c r="J54" i="18"/>
  <c r="J66" i="18"/>
  <c r="J78" i="18"/>
  <c r="J90" i="18"/>
  <c r="J102" i="18"/>
  <c r="J115" i="18"/>
  <c r="J128" i="18"/>
  <c r="J142" i="18"/>
  <c r="J155" i="18"/>
  <c r="J8" i="18"/>
  <c r="J20" i="18"/>
  <c r="J32" i="18"/>
  <c r="J44" i="18"/>
  <c r="J56" i="18"/>
  <c r="J68" i="18"/>
  <c r="J80" i="18"/>
  <c r="J92" i="18"/>
  <c r="J104" i="18"/>
  <c r="J118" i="18"/>
  <c r="J131" i="18"/>
  <c r="J144" i="18"/>
  <c r="J33" i="18"/>
  <c r="J69" i="18"/>
  <c r="J119" i="18"/>
  <c r="J34" i="18"/>
  <c r="J82" i="18"/>
  <c r="J120" i="18"/>
  <c r="J146" i="18"/>
  <c r="J159" i="18"/>
  <c r="J148" i="18"/>
  <c r="J13" i="18"/>
  <c r="J25" i="18"/>
  <c r="J37" i="18"/>
  <c r="J49" i="18"/>
  <c r="J61" i="18"/>
  <c r="J73" i="18"/>
  <c r="J85" i="18"/>
  <c r="J97" i="18"/>
  <c r="J110" i="18"/>
  <c r="J123" i="18"/>
  <c r="J136" i="18"/>
  <c r="J149" i="18"/>
  <c r="J14" i="18"/>
  <c r="J26" i="18"/>
  <c r="J38" i="18"/>
  <c r="J50" i="18"/>
  <c r="J62" i="18"/>
  <c r="J74" i="18"/>
  <c r="J86" i="18"/>
  <c r="J98" i="18"/>
  <c r="J111" i="18"/>
  <c r="J124" i="18"/>
  <c r="J137" i="18"/>
  <c r="J150" i="18"/>
  <c r="J15" i="18"/>
  <c r="J27" i="18"/>
  <c r="J39" i="18"/>
  <c r="J51" i="18"/>
  <c r="J63" i="18"/>
  <c r="J75" i="18"/>
  <c r="J87" i="18"/>
  <c r="J99" i="18"/>
  <c r="J112" i="18"/>
  <c r="J125" i="18"/>
  <c r="J138" i="18"/>
  <c r="J151" i="18"/>
  <c r="J7" i="18"/>
  <c r="J19" i="18"/>
  <c r="J31" i="18"/>
  <c r="J43" i="18"/>
  <c r="J55" i="18"/>
  <c r="J67" i="18"/>
  <c r="J79" i="18"/>
  <c r="J91" i="18"/>
  <c r="J103" i="18"/>
  <c r="J116" i="18"/>
  <c r="J130" i="18"/>
  <c r="J143" i="18"/>
  <c r="J9" i="18"/>
  <c r="J21" i="18"/>
  <c r="J45" i="18"/>
  <c r="J57" i="18"/>
  <c r="J81" i="18"/>
  <c r="J93" i="18"/>
  <c r="J106" i="18"/>
  <c r="J132" i="18"/>
  <c r="J145" i="18"/>
  <c r="J10" i="18"/>
  <c r="J22" i="18"/>
  <c r="J46" i="18"/>
  <c r="J58" i="18"/>
  <c r="J70" i="18"/>
  <c r="J94" i="18"/>
  <c r="J107" i="18"/>
  <c r="J133" i="18"/>
  <c r="J11" i="18"/>
  <c r="J23" i="18"/>
  <c r="J35" i="18"/>
  <c r="J47" i="18"/>
  <c r="J59" i="18"/>
  <c r="J71" i="18"/>
  <c r="J83" i="18"/>
  <c r="J95" i="18"/>
  <c r="J108" i="18"/>
  <c r="J121" i="18"/>
  <c r="J134" i="18"/>
  <c r="J147" i="18"/>
  <c r="J105" i="18"/>
  <c r="J117" i="18"/>
  <c r="J129" i="18"/>
  <c r="J141" i="18"/>
  <c r="J153" i="18"/>
  <c r="C14" i="1"/>
  <c r="O28" i="24" l="1"/>
  <c r="H48" i="23"/>
  <c r="E30" i="23"/>
  <c r="E48" i="23" s="1"/>
  <c r="G46" i="23"/>
  <c r="G48" i="23" s="1"/>
  <c r="D48" i="23"/>
  <c r="H50" i="19"/>
  <c r="H23" i="19"/>
  <c r="N23" i="19" s="1"/>
  <c r="E40" i="19"/>
  <c r="K40" i="19" s="1"/>
  <c r="F50" i="19"/>
  <c r="H40" i="19"/>
  <c r="G40" i="19"/>
  <c r="F40" i="19"/>
  <c r="L40" i="19" s="1"/>
  <c r="G11" i="19"/>
  <c r="M32" i="19" s="1"/>
  <c r="N29" i="19"/>
  <c r="N47" i="19"/>
  <c r="N14" i="19"/>
  <c r="N16" i="19"/>
  <c r="N19" i="19"/>
  <c r="L20" i="19"/>
  <c r="J38" i="19"/>
  <c r="F23" i="19"/>
  <c r="L23" i="19" s="1"/>
  <c r="G50" i="19"/>
  <c r="M50" i="19" s="1"/>
  <c r="J9" i="19"/>
  <c r="E50" i="19"/>
  <c r="K50" i="19" s="1"/>
  <c r="D40" i="19"/>
  <c r="D23" i="19"/>
  <c r="D50" i="19"/>
  <c r="M46" i="19"/>
  <c r="F11" i="19"/>
  <c r="L34" i="19" s="1"/>
  <c r="G23" i="19"/>
  <c r="D11" i="19"/>
  <c r="J54" i="19"/>
  <c r="K37" i="19"/>
  <c r="N37" i="19"/>
  <c r="K49" i="19"/>
  <c r="N34" i="19"/>
  <c r="N50" i="19"/>
  <c r="K23" i="19"/>
  <c r="K29" i="19"/>
  <c r="K31" i="19"/>
  <c r="K28" i="19"/>
  <c r="K11" i="19"/>
  <c r="K44" i="19"/>
  <c r="K14" i="19"/>
  <c r="K38" i="19"/>
  <c r="K48" i="19"/>
  <c r="K36" i="19"/>
  <c r="K43" i="19"/>
  <c r="K21" i="19"/>
  <c r="K15" i="19"/>
  <c r="K33" i="19"/>
  <c r="K39" i="19"/>
  <c r="K46" i="19"/>
  <c r="K54" i="19"/>
  <c r="K18" i="19"/>
  <c r="E25" i="19"/>
  <c r="K22" i="19"/>
  <c r="K17" i="19"/>
  <c r="K35" i="19"/>
  <c r="K16" i="19"/>
  <c r="K32" i="19"/>
  <c r="H25" i="19"/>
  <c r="N11" i="19"/>
  <c r="N28" i="19"/>
  <c r="N44" i="19"/>
  <c r="N9" i="19"/>
  <c r="N46" i="19"/>
  <c r="N54" i="19"/>
  <c r="N18" i="19"/>
  <c r="N35" i="19"/>
  <c r="N20" i="19"/>
  <c r="N30" i="19"/>
  <c r="N36" i="19"/>
  <c r="N43" i="19"/>
  <c r="N49" i="19"/>
  <c r="N21" i="19"/>
  <c r="N32" i="19"/>
  <c r="N38" i="19"/>
  <c r="N45" i="19"/>
  <c r="N15" i="19"/>
  <c r="N17" i="19"/>
  <c r="K45" i="19"/>
  <c r="K47" i="19"/>
  <c r="K34" i="19"/>
  <c r="K9" i="19"/>
  <c r="N39" i="19"/>
  <c r="N48" i="19"/>
  <c r="K20" i="19"/>
  <c r="N31" i="19"/>
  <c r="N8" i="19"/>
  <c r="K30" i="19"/>
  <c r="K8" i="19"/>
  <c r="N33" i="19"/>
  <c r="N22" i="19"/>
  <c r="K19" i="19"/>
  <c r="N40" i="19"/>
  <c r="N10" i="19"/>
  <c r="M47" i="19" l="1"/>
  <c r="M8" i="19"/>
  <c r="L49" i="19"/>
  <c r="M40" i="19"/>
  <c r="M36" i="19"/>
  <c r="M20" i="19"/>
  <c r="M43" i="19"/>
  <c r="M9" i="19"/>
  <c r="M11" i="19"/>
  <c r="M17" i="19"/>
  <c r="M33" i="19"/>
  <c r="M22" i="19"/>
  <c r="M19" i="19"/>
  <c r="M44" i="19"/>
  <c r="M14" i="19"/>
  <c r="M30" i="19"/>
  <c r="M54" i="19"/>
  <c r="M39" i="19"/>
  <c r="M15" i="19"/>
  <c r="M16" i="19"/>
  <c r="M28" i="19"/>
  <c r="M48" i="19"/>
  <c r="M21" i="19"/>
  <c r="M29" i="19"/>
  <c r="M49" i="19"/>
  <c r="M18" i="19"/>
  <c r="M37" i="19"/>
  <c r="M31" i="19"/>
  <c r="M34" i="19"/>
  <c r="M45" i="19"/>
  <c r="M10" i="19"/>
  <c r="M35" i="19"/>
  <c r="M38" i="19"/>
  <c r="J11" i="19"/>
  <c r="J44" i="19"/>
  <c r="J47" i="19"/>
  <c r="J17" i="19"/>
  <c r="J36" i="19"/>
  <c r="J48" i="19"/>
  <c r="J49" i="19"/>
  <c r="D25" i="19"/>
  <c r="J8" i="19"/>
  <c r="J29" i="19"/>
  <c r="J37" i="19"/>
  <c r="J34" i="19"/>
  <c r="J43" i="19"/>
  <c r="J15" i="19"/>
  <c r="J46" i="19"/>
  <c r="J16" i="19"/>
  <c r="J22" i="19"/>
  <c r="J14" i="19"/>
  <c r="J39" i="19"/>
  <c r="J33" i="19"/>
  <c r="J31" i="19"/>
  <c r="J18" i="19"/>
  <c r="J32" i="19"/>
  <c r="J35" i="19"/>
  <c r="L11" i="19"/>
  <c r="L47" i="19"/>
  <c r="L36" i="19"/>
  <c r="L22" i="19"/>
  <c r="L33" i="19"/>
  <c r="L10" i="19"/>
  <c r="L43" i="19"/>
  <c r="L17" i="19"/>
  <c r="L37" i="19"/>
  <c r="L15" i="19"/>
  <c r="L19" i="19"/>
  <c r="L9" i="19"/>
  <c r="L28" i="19"/>
  <c r="L46" i="19"/>
  <c r="L32" i="19"/>
  <c r="L44" i="19"/>
  <c r="L54" i="19"/>
  <c r="L38" i="19"/>
  <c r="L30" i="19"/>
  <c r="L14" i="19"/>
  <c r="L29" i="19"/>
  <c r="L45" i="19"/>
  <c r="L35" i="19"/>
  <c r="L8" i="19"/>
  <c r="J19" i="19"/>
  <c r="L18" i="19"/>
  <c r="J20" i="19"/>
  <c r="J50" i="19"/>
  <c r="J10" i="19"/>
  <c r="J45" i="19"/>
  <c r="L48" i="19"/>
  <c r="L21" i="19"/>
  <c r="J23" i="19"/>
  <c r="L16" i="19"/>
  <c r="L39" i="19"/>
  <c r="F25" i="19"/>
  <c r="L25" i="19" s="1"/>
  <c r="M23" i="19"/>
  <c r="G25" i="19"/>
  <c r="J40" i="19"/>
  <c r="J21" i="19"/>
  <c r="L31" i="19"/>
  <c r="J28" i="19"/>
  <c r="J30" i="19"/>
  <c r="L50" i="19"/>
  <c r="E42" i="19"/>
  <c r="K25" i="19"/>
  <c r="H42" i="19"/>
  <c r="N25" i="19"/>
  <c r="F42" i="19" l="1"/>
  <c r="J25" i="19"/>
  <c r="D42" i="19"/>
  <c r="G42" i="19"/>
  <c r="M25" i="19"/>
  <c r="H52" i="19"/>
  <c r="N42" i="19"/>
  <c r="F52" i="19"/>
  <c r="L42" i="19"/>
  <c r="E52" i="19"/>
  <c r="K42" i="19"/>
  <c r="G52" i="19" l="1"/>
  <c r="M42" i="19"/>
  <c r="D52" i="19"/>
  <c r="J42" i="19"/>
  <c r="K52" i="19"/>
  <c r="E56" i="19"/>
  <c r="K56" i="19" s="1"/>
  <c r="L52" i="19"/>
  <c r="F56" i="19"/>
  <c r="L56" i="19" s="1"/>
  <c r="H56" i="19"/>
  <c r="N56" i="19" s="1"/>
  <c r="N52" i="19"/>
  <c r="M52" i="19" l="1"/>
  <c r="G56" i="19"/>
  <c r="M56" i="19" s="1"/>
  <c r="J52" i="19"/>
  <c r="D56" i="19"/>
  <c r="J56" i="19" s="1"/>
</calcChain>
</file>

<file path=xl/sharedStrings.xml><?xml version="1.0" encoding="utf-8"?>
<sst xmlns="http://schemas.openxmlformats.org/spreadsheetml/2006/main" count="4029" uniqueCount="565">
  <si>
    <t>American Aerospace Controls, Inc.</t>
  </si>
  <si>
    <t>Adjusted EBITDA Analysis</t>
  </si>
  <si>
    <t xml:space="preserve"> </t>
  </si>
  <si>
    <t>American Aerospace Controls</t>
  </si>
  <si>
    <t>Date</t>
  </si>
  <si>
    <t>Team Members:</t>
  </si>
  <si>
    <t>Jack McGoorty</t>
  </si>
  <si>
    <t>JMcGoorty@kreshmore.com</t>
  </si>
  <si>
    <t>Color Key</t>
  </si>
  <si>
    <t>Blue</t>
  </si>
  <si>
    <t>Indicates Inputs</t>
  </si>
  <si>
    <t>Green</t>
  </si>
  <si>
    <t>Indicates values referecing other sheets</t>
  </si>
  <si>
    <t>Black</t>
  </si>
  <si>
    <t>Indicates a calculation</t>
  </si>
  <si>
    <t>S Guzman</t>
  </si>
  <si>
    <t>PY Acctg svces</t>
  </si>
  <si>
    <t>CM Law</t>
  </si>
  <si>
    <t>A Abramotwitz</t>
  </si>
  <si>
    <t>Farrell Fritz</t>
  </si>
  <si>
    <t>JG Lawyer</t>
  </si>
  <si>
    <t>Randstad</t>
  </si>
  <si>
    <t>Jay Gelbein</t>
  </si>
  <si>
    <t>Sharon Hairston</t>
  </si>
  <si>
    <t>Ross Rizley</t>
  </si>
  <si>
    <t>Amount</t>
  </si>
  <si>
    <t>Payee</t>
  </si>
  <si>
    <t>Consulting Fees - Non recurring</t>
  </si>
  <si>
    <t>AAC</t>
  </si>
  <si>
    <t>Adjusted EBITDA</t>
  </si>
  <si>
    <t>Net Adjustments</t>
  </si>
  <si>
    <t>Staff Cash Bonuses</t>
  </si>
  <si>
    <t>MFG Variance</t>
  </si>
  <si>
    <t>Acctg Fees</t>
  </si>
  <si>
    <t>Prof/Cons Fees</t>
  </si>
  <si>
    <t>Dennis PA</t>
  </si>
  <si>
    <t>Directors Fees</t>
  </si>
  <si>
    <t>Officer's Salary</t>
  </si>
  <si>
    <t>Adjustments:</t>
  </si>
  <si>
    <t>Book EBITDA</t>
  </si>
  <si>
    <t>Investment (income) loss</t>
  </si>
  <si>
    <t>Fed Employee Tax Credits</t>
  </si>
  <si>
    <t>Taxes</t>
  </si>
  <si>
    <t>Interest Expense</t>
  </si>
  <si>
    <t>Depreciation &amp; Amortization</t>
  </si>
  <si>
    <t>Net Income per Books</t>
  </si>
  <si>
    <t>Sept</t>
  </si>
  <si>
    <t>2025 YTD</t>
  </si>
  <si>
    <t>2021-2025</t>
  </si>
  <si>
    <t>Adjusted EBITDA Summaries</t>
  </si>
  <si>
    <t>NET PROFIT  (LOSS)</t>
  </si>
  <si>
    <t>.</t>
  </si>
  <si>
    <t xml:space="preserve">     Total Taxes Paid</t>
  </si>
  <si>
    <t xml:space="preserve">   -Corporate Taxes - State</t>
  </si>
  <si>
    <t>00-9995-000</t>
  </si>
  <si>
    <t xml:space="preserve">   Corporate Taxes - NYC</t>
  </si>
  <si>
    <t>00-9993-000</t>
  </si>
  <si>
    <t xml:space="preserve">   -Corporate Taxes - Federal</t>
  </si>
  <si>
    <t>00-9990-000</t>
  </si>
  <si>
    <t>TAXES PAID</t>
  </si>
  <si>
    <t>NET INCOME BEFORE TAXES</t>
  </si>
  <si>
    <t xml:space="preserve">     Total Other Income (Exp)</t>
  </si>
  <si>
    <t xml:space="preserve">   -Expense - Suspense</t>
  </si>
  <si>
    <t>00-9999-000</t>
  </si>
  <si>
    <t xml:space="preserve">   -Gain (loss) on disposal of asset</t>
  </si>
  <si>
    <t>00-9940-000</t>
  </si>
  <si>
    <t xml:space="preserve">   -PPP Funds</t>
  </si>
  <si>
    <t>00-9937-000</t>
  </si>
  <si>
    <t xml:space="preserve">   -FFCRA - Payroll Reimbusement</t>
  </si>
  <si>
    <t>00-9936-000</t>
  </si>
  <si>
    <t xml:space="preserve">   -SBA Grant Funds</t>
  </si>
  <si>
    <t>00-9935-000</t>
  </si>
  <si>
    <t xml:space="preserve">   Realized Gain (Loss) Investments--</t>
  </si>
  <si>
    <t>00-9925-000</t>
  </si>
  <si>
    <t xml:space="preserve">   -Other Income / Expense</t>
  </si>
  <si>
    <t>00-9920-000</t>
  </si>
  <si>
    <t xml:space="preserve">   Investment Income</t>
  </si>
  <si>
    <t>00-9915-000</t>
  </si>
  <si>
    <t xml:space="preserve">   -Interest Expense</t>
  </si>
  <si>
    <t>00-9912-000</t>
  </si>
  <si>
    <t xml:space="preserve">   -Interest Income</t>
  </si>
  <si>
    <t>00-9910-000</t>
  </si>
  <si>
    <t xml:space="preserve">   -A/P Discounts</t>
  </si>
  <si>
    <t>00-7820-000</t>
  </si>
  <si>
    <t xml:space="preserve">   -Purchase Price Variance</t>
  </si>
  <si>
    <t>00-7810-000</t>
  </si>
  <si>
    <t>OTHER INCOME / EXPENSE</t>
  </si>
  <si>
    <t xml:space="preserve">     Total General &amp; Admin</t>
  </si>
  <si>
    <t xml:space="preserve">   -Travel &amp; Lodging</t>
  </si>
  <si>
    <t>-9310</t>
  </si>
  <si>
    <t xml:space="preserve">   -Medical Insurance</t>
  </si>
  <si>
    <t>-9210</t>
  </si>
  <si>
    <t xml:space="preserve">   -Depreciation &amp; Amortization</t>
  </si>
  <si>
    <t>00-9930-000</t>
  </si>
  <si>
    <t xml:space="preserve">   -401K Expenses</t>
  </si>
  <si>
    <t>00-9720-000</t>
  </si>
  <si>
    <t xml:space="preserve">   PSP Plan Fees--</t>
  </si>
  <si>
    <t>00-9715-000</t>
  </si>
  <si>
    <t xml:space="preserve">   -Profit Sharing Expenses</t>
  </si>
  <si>
    <t>00-9710-000</t>
  </si>
  <si>
    <t xml:space="preserve">   -R E Taxes</t>
  </si>
  <si>
    <t>00-9620-000</t>
  </si>
  <si>
    <t xml:space="preserve">   -Insurance</t>
  </si>
  <si>
    <t>00-9615-000</t>
  </si>
  <si>
    <t xml:space="preserve">   -Utilities</t>
  </si>
  <si>
    <t>00-9610-000</t>
  </si>
  <si>
    <t xml:space="preserve">   -Bank Charges</t>
  </si>
  <si>
    <t>00-9560-000</t>
  </si>
  <si>
    <t>00-9560</t>
  </si>
  <si>
    <t xml:space="preserve">   -Credit Card Fees</t>
  </si>
  <si>
    <t>00-9555-000</t>
  </si>
  <si>
    <t xml:space="preserve">   -Repairs &amp; Manitenance</t>
  </si>
  <si>
    <t>00-9550-000</t>
  </si>
  <si>
    <t xml:space="preserve">   -Charitable Contributions</t>
  </si>
  <si>
    <t>00-9545-000</t>
  </si>
  <si>
    <t>00-9545</t>
  </si>
  <si>
    <t xml:space="preserve">   -Postage &amp; Mailing</t>
  </si>
  <si>
    <t>00-9540-000</t>
  </si>
  <si>
    <t>00-9540</t>
  </si>
  <si>
    <t xml:space="preserve">   -Telephone</t>
  </si>
  <si>
    <t>00-9535-000</t>
  </si>
  <si>
    <t xml:space="preserve">   -Office Supplies &amp; Expenses</t>
  </si>
  <si>
    <t>00-9530-000</t>
  </si>
  <si>
    <t>00-9530</t>
  </si>
  <si>
    <t xml:space="preserve">   -Dues &amp; Subscriptions</t>
  </si>
  <si>
    <t>00-9525-000</t>
  </si>
  <si>
    <t>00-9525</t>
  </si>
  <si>
    <t xml:space="preserve">   -Cable &amp; Internet Fees</t>
  </si>
  <si>
    <t>00-9520-000</t>
  </si>
  <si>
    <t xml:space="preserve">   -Computer Expense</t>
  </si>
  <si>
    <t>00-9515-000</t>
  </si>
  <si>
    <t>00-9515</t>
  </si>
  <si>
    <t xml:space="preserve">   -Copier Expenses</t>
  </si>
  <si>
    <t>00-9510-000</t>
  </si>
  <si>
    <t xml:space="preserve">   Human Resources &amp; Trianing Expenses</t>
  </si>
  <si>
    <t>00-9450-000</t>
  </si>
  <si>
    <t xml:space="preserve">   -Temporary Labor</t>
  </si>
  <si>
    <t>00-9440-000</t>
  </si>
  <si>
    <t xml:space="preserve">   -Consulting Fees</t>
  </si>
  <si>
    <t>00-9430-000</t>
  </si>
  <si>
    <t xml:space="preserve">   -Professional Fees</t>
  </si>
  <si>
    <t>00-9420-000</t>
  </si>
  <si>
    <t xml:space="preserve">   -Accounting Fees</t>
  </si>
  <si>
    <t>00-9410-000</t>
  </si>
  <si>
    <t xml:space="preserve">   -Meals &amp; Entertainment</t>
  </si>
  <si>
    <t>00-9320-000</t>
  </si>
  <si>
    <t>00-9320</t>
  </si>
  <si>
    <t>00-9310-020</t>
  </si>
  <si>
    <t>00-9310-000</t>
  </si>
  <si>
    <t>00-9310</t>
  </si>
  <si>
    <t xml:space="preserve">   -Vacation &amp; Sick</t>
  </si>
  <si>
    <t>00-9240-000</t>
  </si>
  <si>
    <t xml:space="preserve">   -Payroll Costs</t>
  </si>
  <si>
    <t>00-9230-000</t>
  </si>
  <si>
    <t xml:space="preserve">   -Payroll Taxes</t>
  </si>
  <si>
    <t>00-9220-030</t>
  </si>
  <si>
    <t>00-9220-000</t>
  </si>
  <si>
    <t>00-9210-020</t>
  </si>
  <si>
    <t>00-9210-010</t>
  </si>
  <si>
    <t>00-9210-000</t>
  </si>
  <si>
    <t xml:space="preserve">   -Directors Fees</t>
  </si>
  <si>
    <t>00-9130-010</t>
  </si>
  <si>
    <t>00-9130-000</t>
  </si>
  <si>
    <t xml:space="preserve">   -Salaries Office Staff</t>
  </si>
  <si>
    <t>00-9120-010</t>
  </si>
  <si>
    <t>00-9120-000</t>
  </si>
  <si>
    <t xml:space="preserve">   -Salaries Officers</t>
  </si>
  <si>
    <t>00-9110-010</t>
  </si>
  <si>
    <t>00-9110-000</t>
  </si>
  <si>
    <t>GENERAL &amp; ADMINISTRATIVE</t>
  </si>
  <si>
    <t xml:space="preserve">     Total Sales &amp; Marketing</t>
  </si>
  <si>
    <t xml:space="preserve">   -Customer Charges &amp; Fees</t>
  </si>
  <si>
    <t>-8540</t>
  </si>
  <si>
    <t xml:space="preserve">   -Bad Debt Expense</t>
  </si>
  <si>
    <t>00-8710-000</t>
  </si>
  <si>
    <t xml:space="preserve">   -Product Cancellation Charges</t>
  </si>
  <si>
    <t>00-8610-000</t>
  </si>
  <si>
    <t xml:space="preserve">   Commissions</t>
  </si>
  <si>
    <t>00-8560-000</t>
  </si>
  <si>
    <t xml:space="preserve">   Trade Portal &amp; Registration Fees--</t>
  </si>
  <si>
    <t>00-8550-000</t>
  </si>
  <si>
    <t xml:space="preserve">   Customer Charges &amp; Fees--</t>
  </si>
  <si>
    <t>00-8540-000</t>
  </si>
  <si>
    <t xml:space="preserve">   AR Insurance - Exim Bank--</t>
  </si>
  <si>
    <t>00-8520-000</t>
  </si>
  <si>
    <t xml:space="preserve">   -Credit Reports D&amp;B</t>
  </si>
  <si>
    <t>00-8510-000</t>
  </si>
  <si>
    <t xml:space="preserve">   Trade Shows</t>
  </si>
  <si>
    <t>00-8490-000</t>
  </si>
  <si>
    <t xml:space="preserve">   -Trade Shows</t>
  </si>
  <si>
    <t>00-8490</t>
  </si>
  <si>
    <t xml:space="preserve">   -Website Expenses</t>
  </si>
  <si>
    <t>00-8420-000</t>
  </si>
  <si>
    <t xml:space="preserve">   Promotional &amp; Marketing Materials</t>
  </si>
  <si>
    <t>00-8415-000</t>
  </si>
  <si>
    <t xml:space="preserve">   -Advertising</t>
  </si>
  <si>
    <t>00-8410-000</t>
  </si>
  <si>
    <t>00-8410</t>
  </si>
  <si>
    <t>00-8320-030</t>
  </si>
  <si>
    <t>00-8320-000</t>
  </si>
  <si>
    <t>00-8310-020</t>
  </si>
  <si>
    <t>00-8310-000</t>
  </si>
  <si>
    <t>00-8220-030</t>
  </si>
  <si>
    <t>00-8220-020</t>
  </si>
  <si>
    <t>00-8220-000</t>
  </si>
  <si>
    <t>00-8210-020</t>
  </si>
  <si>
    <t>00-8210-000</t>
  </si>
  <si>
    <t xml:space="preserve">   -Salaries Sales Dept</t>
  </si>
  <si>
    <t>00-8110-010</t>
  </si>
  <si>
    <t>00-8110-000</t>
  </si>
  <si>
    <t>SALES &amp; MARKETING</t>
  </si>
  <si>
    <t>OPERATING INCOME</t>
  </si>
  <si>
    <t xml:space="preserve">     Total Cost of Goods Sold</t>
  </si>
  <si>
    <t>00-7960-000</t>
  </si>
  <si>
    <t>00-7950-000</t>
  </si>
  <si>
    <t>00-7940-000</t>
  </si>
  <si>
    <t>00-7930-020</t>
  </si>
  <si>
    <t>00-7930-000</t>
  </si>
  <si>
    <t xml:space="preserve">   -Environmental Expenses</t>
  </si>
  <si>
    <t>00-7920-000</t>
  </si>
  <si>
    <t xml:space="preserve">   -Repair &amp; Maintenance</t>
  </si>
  <si>
    <t>00-7910-000</t>
  </si>
  <si>
    <t xml:space="preserve">   Certifications &amp; Licenses</t>
  </si>
  <si>
    <t>00-7570-000</t>
  </si>
  <si>
    <t xml:space="preserve">   Calibration Services--</t>
  </si>
  <si>
    <t>00-7565-000</t>
  </si>
  <si>
    <t xml:space="preserve">   -Test Dept Expenses</t>
  </si>
  <si>
    <t>00-7560-000</t>
  </si>
  <si>
    <t xml:space="preserve">   -Labratory Expenses</t>
  </si>
  <si>
    <t>00-7555-000</t>
  </si>
  <si>
    <t xml:space="preserve">   -Quality Dept Expenses</t>
  </si>
  <si>
    <t>00-7550-000</t>
  </si>
  <si>
    <t xml:space="preserve">   Research &amp; Development--</t>
  </si>
  <si>
    <t>00-7545-000</t>
  </si>
  <si>
    <t xml:space="preserve">   -Engineering Software</t>
  </si>
  <si>
    <t>00-7540-000</t>
  </si>
  <si>
    <t xml:space="preserve">   -Engineering Dept Expenses</t>
  </si>
  <si>
    <t>00-7535-000</t>
  </si>
  <si>
    <t xml:space="preserve">   -Outside Training</t>
  </si>
  <si>
    <t>00-7530-000</t>
  </si>
  <si>
    <t>00-7525-000</t>
  </si>
  <si>
    <t xml:space="preserve">   -Inventory Adjustments</t>
  </si>
  <si>
    <t>00-7520-000</t>
  </si>
  <si>
    <t xml:space="preserve">   -Repair &amp; Maintenance Equipment</t>
  </si>
  <si>
    <t>00-7515-000</t>
  </si>
  <si>
    <t xml:space="preserve">   -Production Supplies</t>
  </si>
  <si>
    <t>00-7510-000</t>
  </si>
  <si>
    <t>00-7510</t>
  </si>
  <si>
    <t xml:space="preserve">   Production Consumables</t>
  </si>
  <si>
    <t>00-7505-000</t>
  </si>
  <si>
    <t xml:space="preserve">   -Other Vendor Charges</t>
  </si>
  <si>
    <t>00-7450-000</t>
  </si>
  <si>
    <t xml:space="preserve">   -Shipping Supplies</t>
  </si>
  <si>
    <t>00-7440-000</t>
  </si>
  <si>
    <t xml:space="preserve">   -Shipping &amp; Handling</t>
  </si>
  <si>
    <t>00-7430-000</t>
  </si>
  <si>
    <t xml:space="preserve">   -Freight To Customers</t>
  </si>
  <si>
    <t>00-7420-000</t>
  </si>
  <si>
    <t>00-7420</t>
  </si>
  <si>
    <t xml:space="preserve">   -Inbound Freight</t>
  </si>
  <si>
    <t>00-7410-000</t>
  </si>
  <si>
    <t>00-7410</t>
  </si>
  <si>
    <t xml:space="preserve">   -Incoming Inspection</t>
  </si>
  <si>
    <t>00-7360-000</t>
  </si>
  <si>
    <t xml:space="preserve">   -Reapiar &amp; Maint - 5S</t>
  </si>
  <si>
    <t>00-7350-000</t>
  </si>
  <si>
    <t xml:space="preserve">   -Production Support</t>
  </si>
  <si>
    <t>00-7340-000</t>
  </si>
  <si>
    <t>00-7330-000</t>
  </si>
  <si>
    <t>00-7320-030</t>
  </si>
  <si>
    <t>00-7320-010</t>
  </si>
  <si>
    <t>00-7320-000</t>
  </si>
  <si>
    <t>00-7310-020</t>
  </si>
  <si>
    <t>00-7310-000</t>
  </si>
  <si>
    <t xml:space="preserve">   -Overtime</t>
  </si>
  <si>
    <t>00-7290-010</t>
  </si>
  <si>
    <t xml:space="preserve">   -Salaries Quality Dept</t>
  </si>
  <si>
    <t>00-7240-010</t>
  </si>
  <si>
    <t>00-7240-000</t>
  </si>
  <si>
    <t>00-7240</t>
  </si>
  <si>
    <t xml:space="preserve">   -Salaries Engineering</t>
  </si>
  <si>
    <t>00-7230-030</t>
  </si>
  <si>
    <t>00-7230-010</t>
  </si>
  <si>
    <t>00-7230-000</t>
  </si>
  <si>
    <t xml:space="preserve">   -Salaries Production Supervisors</t>
  </si>
  <si>
    <t>00-7220-010</t>
  </si>
  <si>
    <t>00-7220-000</t>
  </si>
  <si>
    <t xml:space="preserve">   -Salaries Indirect Labor</t>
  </si>
  <si>
    <t>00-7210-020</t>
  </si>
  <si>
    <t>00-7210-010</t>
  </si>
  <si>
    <t>00-7210-000</t>
  </si>
  <si>
    <t>00-7210</t>
  </si>
  <si>
    <t xml:space="preserve">   Salaries - Direct Labor</t>
  </si>
  <si>
    <t>00-7110-010</t>
  </si>
  <si>
    <t xml:space="preserve">   -Direct Labor</t>
  </si>
  <si>
    <t>00-7110-000</t>
  </si>
  <si>
    <t xml:space="preserve">   -Applied Factory Overhead</t>
  </si>
  <si>
    <t>00-7050-000</t>
  </si>
  <si>
    <t xml:space="preserve">   -Applied Direct Labor</t>
  </si>
  <si>
    <t>00-7010-000</t>
  </si>
  <si>
    <t xml:space="preserve">   Meals &amp; Entertainment</t>
  </si>
  <si>
    <t>00-7620-000</t>
  </si>
  <si>
    <t xml:space="preserve">   Travel &amp; Lodging</t>
  </si>
  <si>
    <t>00-7610-000</t>
  </si>
  <si>
    <t xml:space="preserve">   -DMR - COGS</t>
  </si>
  <si>
    <t>00-6190-000</t>
  </si>
  <si>
    <t xml:space="preserve">   -MFG Variance</t>
  </si>
  <si>
    <t>00-6160-000</t>
  </si>
  <si>
    <t xml:space="preserve">   -Cost of Returns</t>
  </si>
  <si>
    <t>00-6150-000</t>
  </si>
  <si>
    <t xml:space="preserve">   -Non-Recurring Engineering Costs</t>
  </si>
  <si>
    <t>00-6145-000</t>
  </si>
  <si>
    <t xml:space="preserve">   -Outside Services - Product Sales</t>
  </si>
  <si>
    <t>00-6140-000</t>
  </si>
  <si>
    <t xml:space="preserve">   -Overhead - Product Sales</t>
  </si>
  <si>
    <t>00-6130-000</t>
  </si>
  <si>
    <t xml:space="preserve">   -Labor - Product Sales</t>
  </si>
  <si>
    <t>00-6120-000</t>
  </si>
  <si>
    <t xml:space="preserve">   -Material - Product Sales</t>
  </si>
  <si>
    <t>00-6110-000</t>
  </si>
  <si>
    <t>COST OF GOODS SOLD</t>
  </si>
  <si>
    <t xml:space="preserve">     Total Revenues</t>
  </si>
  <si>
    <t xml:space="preserve">   -Customer Credits &amp; Discounts</t>
  </si>
  <si>
    <t>-5130</t>
  </si>
  <si>
    <t xml:space="preserve">   -Engineering Services</t>
  </si>
  <si>
    <t>00-5510-000</t>
  </si>
  <si>
    <t xml:space="preserve">   -Other Customer Charges</t>
  </si>
  <si>
    <t>00-5190-000</t>
  </si>
  <si>
    <t>00-5130-000</t>
  </si>
  <si>
    <t>00-5130</t>
  </si>
  <si>
    <t xml:space="preserve">   -Customer Returns</t>
  </si>
  <si>
    <t>00-5120-000</t>
  </si>
  <si>
    <t xml:space="preserve">   -Product Sales</t>
  </si>
  <si>
    <t>00-5110-000</t>
  </si>
  <si>
    <t>00-5110</t>
  </si>
  <si>
    <t>REVENUES</t>
  </si>
  <si>
    <t>Last Year</t>
  </si>
  <si>
    <t>Variance</t>
  </si>
  <si>
    <t>YTD</t>
  </si>
  <si>
    <t>Current YTD</t>
  </si>
  <si>
    <t>Current Period</t>
  </si>
  <si>
    <t>Description</t>
  </si>
  <si>
    <t>Account</t>
  </si>
  <si>
    <t xml:space="preserve">   TOTAL LIABILITIES &amp; EQUITY</t>
  </si>
  <si>
    <t>TOTAL EQUITY</t>
  </si>
  <si>
    <t xml:space="preserve">   Current Year - Profit ( Loss )</t>
  </si>
  <si>
    <t xml:space="preserve">   -Retained Earnings - Distributions</t>
  </si>
  <si>
    <t>00-3310-000</t>
  </si>
  <si>
    <t xml:space="preserve">   Retained Earnings-Prior Years</t>
  </si>
  <si>
    <t xml:space="preserve">   Distributions-Current Year</t>
  </si>
  <si>
    <t xml:space="preserve">   Tax Payments-Current Year</t>
  </si>
  <si>
    <t xml:space="preserve">   Common Stock</t>
  </si>
  <si>
    <t>EQUITY</t>
  </si>
  <si>
    <t>TOTAL LIABILITIES</t>
  </si>
  <si>
    <t>Total Current Liabilities</t>
  </si>
  <si>
    <t xml:space="preserve">   Total Accrued Liabilities</t>
  </si>
  <si>
    <t xml:space="preserve">   -Accrued Profit Sharing</t>
  </si>
  <si>
    <t>00-2350-000</t>
  </si>
  <si>
    <t xml:space="preserve">   -Accrued Expenses</t>
  </si>
  <si>
    <t>00-2340-000</t>
  </si>
  <si>
    <t xml:space="preserve">   -Accrued Payroll &amp; Taxes</t>
  </si>
  <si>
    <t>00-2310-000</t>
  </si>
  <si>
    <t xml:space="preserve">   -Lease Payable - Phone System</t>
  </si>
  <si>
    <t>00-2297-000</t>
  </si>
  <si>
    <t xml:space="preserve">   -Lease Payable - Pick and Place</t>
  </si>
  <si>
    <t>00-2296-000</t>
  </si>
  <si>
    <t>ACCRUED &amp; OTHER LIABILITIES</t>
  </si>
  <si>
    <t>ACCRUED WAGES &amp; TAXES</t>
  </si>
  <si>
    <t>ACCRUED ACCTS PAYABLE</t>
  </si>
  <si>
    <t xml:space="preserve">   Total Accounts Payable</t>
  </si>
  <si>
    <t xml:space="preserve">   -Accrued Purchase Receipts</t>
  </si>
  <si>
    <t>00-2120-000</t>
  </si>
  <si>
    <t xml:space="preserve">   -VISA Payable</t>
  </si>
  <si>
    <t>00-2116-000</t>
  </si>
  <si>
    <t xml:space="preserve">   AMEX Payable</t>
  </si>
  <si>
    <t>00-2115-000</t>
  </si>
  <si>
    <t xml:space="preserve">   -Accounts Payable</t>
  </si>
  <si>
    <t>00-2110-000</t>
  </si>
  <si>
    <t>ACCOUNTS PAYABLE</t>
  </si>
  <si>
    <t>LIABILITIES</t>
  </si>
  <si>
    <t>TOTAL ASSETS</t>
  </si>
  <si>
    <t xml:space="preserve">   Total Prprty, Plant &amp; Equip</t>
  </si>
  <si>
    <t xml:space="preserve">   -Accumulated Amortization</t>
  </si>
  <si>
    <t>00-1495-000</t>
  </si>
  <si>
    <t xml:space="preserve">   -Accumulated Depreciation</t>
  </si>
  <si>
    <t>00-1490-000</t>
  </si>
  <si>
    <t xml:space="preserve">   -Automobiles</t>
  </si>
  <si>
    <t>00-1480-000</t>
  </si>
  <si>
    <t xml:space="preserve">   -Computer Software</t>
  </si>
  <si>
    <t>00-1470-000</t>
  </si>
  <si>
    <t xml:space="preserve">   -Machinery &amp; Equipment</t>
  </si>
  <si>
    <t>00-1440-000</t>
  </si>
  <si>
    <t xml:space="preserve">   -Leasehold Improvements</t>
  </si>
  <si>
    <t>00-1430-000</t>
  </si>
  <si>
    <t xml:space="preserve">   -Building</t>
  </si>
  <si>
    <t>00-1420-000</t>
  </si>
  <si>
    <t xml:space="preserve">   -Land</t>
  </si>
  <si>
    <t>00-1410-000</t>
  </si>
  <si>
    <t>PROPERTY, PLANT &amp; EQUIPMENT</t>
  </si>
  <si>
    <t>Total Current Assets</t>
  </si>
  <si>
    <t xml:space="preserve">   Total PPD &amp; Other Assets</t>
  </si>
  <si>
    <t xml:space="preserve">   -PPD - Trade Show Expenses</t>
  </si>
  <si>
    <t>00-1560-000</t>
  </si>
  <si>
    <t xml:space="preserve">   -Advances</t>
  </si>
  <si>
    <t>00-1550-000</t>
  </si>
  <si>
    <t xml:space="preserve">   -Prepaid RE Taxes</t>
  </si>
  <si>
    <t>00-1530-000</t>
  </si>
  <si>
    <t xml:space="preserve">   -Prepaid Insurance</t>
  </si>
  <si>
    <t>00-1510-000</t>
  </si>
  <si>
    <t>PREPAID &amp; OTHER ASSETS</t>
  </si>
  <si>
    <t xml:space="preserve">   Total Inventory</t>
  </si>
  <si>
    <t xml:space="preserve">   -Inventory - DMR Pending</t>
  </si>
  <si>
    <t>00-1350-000</t>
  </si>
  <si>
    <t xml:space="preserve">   -Inventory - Inspection</t>
  </si>
  <si>
    <t>00-1340-000</t>
  </si>
  <si>
    <t xml:space="preserve">   -Finished Goods</t>
  </si>
  <si>
    <t>00-1330-000</t>
  </si>
  <si>
    <t xml:space="preserve">   -W I P</t>
  </si>
  <si>
    <t>00-1320-000</t>
  </si>
  <si>
    <t xml:space="preserve">   -Raw Material</t>
  </si>
  <si>
    <t>00-1310-000</t>
  </si>
  <si>
    <t>INVENTORY</t>
  </si>
  <si>
    <t xml:space="preserve">   Total Accounts Receivable</t>
  </si>
  <si>
    <t xml:space="preserve">   -Accounts Receivable</t>
  </si>
  <si>
    <t>00-1210-000</t>
  </si>
  <si>
    <t xml:space="preserve">   -Customer Deposits</t>
  </si>
  <si>
    <t>00-1126-000</t>
  </si>
  <si>
    <t xml:space="preserve">   -Allowance for Doubtful Accounts</t>
  </si>
  <si>
    <t>00-1125-000</t>
  </si>
  <si>
    <t>ACCOUNTS RECEIVABLE</t>
  </si>
  <si>
    <t xml:space="preserve">   Total Investments</t>
  </si>
  <si>
    <t xml:space="preserve">   Charles Scwab</t>
  </si>
  <si>
    <t>00-1150-000</t>
  </si>
  <si>
    <t xml:space="preserve">   -Morgan Stanley</t>
  </si>
  <si>
    <t>00-1140-000</t>
  </si>
  <si>
    <t>INVESTMENTS &amp; SECURITIES</t>
  </si>
  <si>
    <t xml:space="preserve">   Total Cash in Banks</t>
  </si>
  <si>
    <t xml:space="preserve">   Petty Cash</t>
  </si>
  <si>
    <t>00-1190-000</t>
  </si>
  <si>
    <t xml:space="preserve">   -Chase - AR Payments</t>
  </si>
  <si>
    <t>00-1112-000</t>
  </si>
  <si>
    <t xml:space="preserve">   -Chase  - Payroll</t>
  </si>
  <si>
    <t>00-1111-000</t>
  </si>
  <si>
    <t xml:space="preserve">   -Chase - Checking</t>
  </si>
  <si>
    <t>00-1110-000</t>
  </si>
  <si>
    <t>CASH IN BANKS</t>
  </si>
  <si>
    <t>ASSETS</t>
  </si>
  <si>
    <t>Var %</t>
  </si>
  <si>
    <t>Current Year</t>
  </si>
  <si>
    <t xml:space="preserve">   -Lease Payable -  Screen Printer</t>
  </si>
  <si>
    <t>00-2295-000</t>
  </si>
  <si>
    <t xml:space="preserve">   -Prepaid Other</t>
  </si>
  <si>
    <t>00-1540-000</t>
  </si>
  <si>
    <t xml:space="preserve">   -401K Payable</t>
  </si>
  <si>
    <t>00-2230-000</t>
  </si>
  <si>
    <t xml:space="preserve">   -Computer Equipment</t>
  </si>
  <si>
    <t>00-1460-000</t>
  </si>
  <si>
    <t xml:space="preserve">   -Prepaid Workers Comp</t>
  </si>
  <si>
    <t>00-1520-000</t>
  </si>
  <si>
    <t xml:space="preserve">   -A/R - Other</t>
  </si>
  <si>
    <t>00-1127-000</t>
  </si>
  <si>
    <t>Chart of Accounts</t>
  </si>
  <si>
    <t>AAC Adjusted EBITDA Analysis</t>
  </si>
  <si>
    <t>Account Number</t>
  </si>
  <si>
    <t>Name</t>
  </si>
  <si>
    <t>Type</t>
  </si>
  <si>
    <t>Revenue</t>
  </si>
  <si>
    <t>Cost of Goods Sold</t>
  </si>
  <si>
    <t>General &amp; Administrative</t>
  </si>
  <si>
    <t>Sales and Marketing</t>
  </si>
  <si>
    <t>Other Income and Expense</t>
  </si>
  <si>
    <t>KG Mapping</t>
  </si>
  <si>
    <t>Product Sales</t>
  </si>
  <si>
    <t>Engineering Services</t>
  </si>
  <si>
    <t>Overhead</t>
  </si>
  <si>
    <t>Other Income</t>
  </si>
  <si>
    <t xml:space="preserve">Materials </t>
  </si>
  <si>
    <t>Outside Services</t>
  </si>
  <si>
    <t>Freight</t>
  </si>
  <si>
    <t>Other COGs</t>
  </si>
  <si>
    <t>Building Expenses</t>
  </si>
  <si>
    <t>Sales &amp; Marketing</t>
  </si>
  <si>
    <t>Salaries and Wages - Direct</t>
  </si>
  <si>
    <t>Profit Sharing</t>
  </si>
  <si>
    <t>Corporate Taxes</t>
  </si>
  <si>
    <t>Office Expense</t>
  </si>
  <si>
    <t>Charity</t>
  </si>
  <si>
    <t>Bank Charges</t>
  </si>
  <si>
    <t>Building Expenses - Direct</t>
  </si>
  <si>
    <t>Other Expenses</t>
  </si>
  <si>
    <t xml:space="preserve">Salaries &amp; Wages </t>
  </si>
  <si>
    <t>Professional Fees</t>
  </si>
  <si>
    <t>Interest Income</t>
  </si>
  <si>
    <t>Investment Income</t>
  </si>
  <si>
    <t>Gain (Loss) on disposal of assets</t>
  </si>
  <si>
    <t>Detailed IS</t>
  </si>
  <si>
    <t>Human Resources &amp; Trianing Expenses</t>
  </si>
  <si>
    <t>Income Statement</t>
  </si>
  <si>
    <t>Actual</t>
  </si>
  <si>
    <t>Total Revenue</t>
  </si>
  <si>
    <t>Total Cost of Goods Sold</t>
  </si>
  <si>
    <t>Depreciation &amp; Amortization - Direct</t>
  </si>
  <si>
    <t>Gross Profit</t>
  </si>
  <si>
    <t>SG&amp;A Expenses</t>
  </si>
  <si>
    <t>Total SG&amp;A Expenses</t>
  </si>
  <si>
    <t>Net Operating Income</t>
  </si>
  <si>
    <t>Other Income (Expenses)</t>
  </si>
  <si>
    <t>Total Other Income (Expenses)</t>
  </si>
  <si>
    <t>Net Income</t>
  </si>
  <si>
    <t>EBT</t>
  </si>
  <si>
    <t>as a % of Revenue</t>
  </si>
  <si>
    <t>Asset</t>
  </si>
  <si>
    <t>Liability</t>
  </si>
  <si>
    <t>Equity</t>
  </si>
  <si>
    <t>00-3300-000</t>
  </si>
  <si>
    <t>00-3320-000</t>
  </si>
  <si>
    <t>00-3330-000</t>
  </si>
  <si>
    <t>00-3340-000</t>
  </si>
  <si>
    <t>00-3350-000</t>
  </si>
  <si>
    <t>Cash</t>
  </si>
  <si>
    <t>Investments</t>
  </si>
  <si>
    <t>Allowance for Doubtful Accounts</t>
  </si>
  <si>
    <t>Accounts Receivable</t>
  </si>
  <si>
    <t>Land</t>
  </si>
  <si>
    <t>Building</t>
  </si>
  <si>
    <t>Leasehold Improvements</t>
  </si>
  <si>
    <t>Machinery &amp; Equipment</t>
  </si>
  <si>
    <t>Computer Equipment</t>
  </si>
  <si>
    <t>Computer Software</t>
  </si>
  <si>
    <t>Automobiles</t>
  </si>
  <si>
    <t>Accumulated Depreciation</t>
  </si>
  <si>
    <t>Accumulated Amortization</t>
  </si>
  <si>
    <t>Accounts Payable</t>
  </si>
  <si>
    <t>Common Stock</t>
  </si>
  <si>
    <t>Customer Depsits</t>
  </si>
  <si>
    <t>Inventory</t>
  </si>
  <si>
    <t>Prepaid Expenses</t>
  </si>
  <si>
    <t>Leases Payable</t>
  </si>
  <si>
    <t>Accured Expenses</t>
  </si>
  <si>
    <t>Retained Earnings</t>
  </si>
  <si>
    <t>Dividends</t>
  </si>
  <si>
    <t>Detailed BS</t>
  </si>
  <si>
    <t>Balance Sheet</t>
  </si>
  <si>
    <t>Assets</t>
  </si>
  <si>
    <t>Current Assets</t>
  </si>
  <si>
    <t xml:space="preserve">As of </t>
  </si>
  <si>
    <t>Fixed Assets</t>
  </si>
  <si>
    <t>Total Fixed Assets</t>
  </si>
  <si>
    <t>Total Assets</t>
  </si>
  <si>
    <t>Liabilites &amp; Equity</t>
  </si>
  <si>
    <t>Current Liabilities</t>
  </si>
  <si>
    <t>Total Current Liabilites</t>
  </si>
  <si>
    <t>Total Equity</t>
  </si>
  <si>
    <t>Total Liabilities &amp; Equity</t>
  </si>
  <si>
    <t>Check</t>
  </si>
  <si>
    <t>EBITDA Analysis</t>
  </si>
  <si>
    <t>Per AAC</t>
  </si>
  <si>
    <t>Depreciation</t>
  </si>
  <si>
    <t xml:space="preserve">Total Add-Backs </t>
  </si>
  <si>
    <t>Adjustments</t>
  </si>
  <si>
    <t>Total Adjustments</t>
  </si>
  <si>
    <t>Per Kreshmore</t>
  </si>
  <si>
    <t>Gain/(Loss) on Disposal of Assets</t>
  </si>
  <si>
    <t>Adjustments*</t>
  </si>
  <si>
    <t>*Note: Kreshmore did not look for other add-back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</si>
</sst>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#,###,###,###,###,###,###,###,###,###.00"/>
    <numFmt numFmtId="167" formatCode="[$-409]mmm\-yy;@"/>
    <numFmt numFmtId="168" formatCode="_(* #,##0.0_);_(* \(#,##0.0\);_(* &quot;-&quot;??_);_(@_)"/>
    <numFmt numFmtId="169" formatCode="0.0%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30"/>
      <color rgb="FFA48373"/>
      <name val="Arial"/>
      <family val="2"/>
    </font>
    <font>
      <b/>
      <sz val="18"/>
      <color rgb="FF5E5E5F"/>
      <name val="Arial"/>
      <family val="2"/>
    </font>
    <font>
      <b/>
      <sz val="10"/>
      <color rgb="FF5E5E5F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  <font>
      <b/>
      <sz val="11"/>
      <color rgb="FF00B050"/>
      <name val="Arial"/>
      <family val="2"/>
    </font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name val="Tahoma"/>
      <family val="2"/>
    </font>
    <font>
      <sz val="8"/>
      <color indexed="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u val="singleAccounting"/>
      <sz val="10"/>
      <name val="Arial"/>
      <family val="2"/>
    </font>
    <font>
      <b/>
      <u val="singleAccounting"/>
      <sz val="10"/>
      <color theme="1"/>
      <name val="Arial"/>
      <family val="2"/>
    </font>
    <font>
      <i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E5E5F"/>
        <bgColor indexed="64"/>
      </patternFill>
    </fill>
    <fill>
      <patternFill patternType="solid">
        <fgColor rgb="FFA4837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3" fillId="0" borderId="0"/>
    <xf numFmtId="166" fontId="14" fillId="0" borderId="0"/>
    <xf numFmtId="166" fontId="15" fillId="0" borderId="0"/>
    <xf numFmtId="0" fontId="15" fillId="0" borderId="0"/>
    <xf numFmtId="166" fontId="15" fillId="0" borderId="0"/>
    <xf numFmtId="0" fontId="15" fillId="0" borderId="0"/>
    <xf numFmtId="166" fontId="14" fillId="0" borderId="0"/>
    <xf numFmtId="0" fontId="16" fillId="0" borderId="0"/>
  </cellStyleXfs>
  <cellXfs count="70"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14" fontId="6" fillId="0" borderId="0" xfId="0" applyNumberFormat="1" applyFont="1" applyAlignment="1">
      <alignment horizontal="left"/>
    </xf>
    <xf numFmtId="0" fontId="8" fillId="0" borderId="0" xfId="0" applyFont="1"/>
    <xf numFmtId="0" fontId="7" fillId="0" borderId="0" xfId="3"/>
    <xf numFmtId="0" fontId="8" fillId="0" borderId="1" xfId="0" applyFont="1" applyBorder="1"/>
    <xf numFmtId="0" fontId="0" fillId="0" borderId="2" xfId="0" applyBorder="1"/>
    <xf numFmtId="0" fontId="9" fillId="0" borderId="1" xfId="0" applyFont="1" applyBorder="1"/>
    <xf numFmtId="0" fontId="10" fillId="0" borderId="3" xfId="0" applyFont="1" applyBorder="1"/>
    <xf numFmtId="0" fontId="0" fillId="0" borderId="4" xfId="0" applyBorder="1"/>
    <xf numFmtId="0" fontId="8" fillId="0" borderId="5" xfId="0" applyFont="1" applyBorder="1"/>
    <xf numFmtId="0" fontId="0" fillId="0" borderId="6" xfId="0" applyBorder="1"/>
    <xf numFmtId="0" fontId="11" fillId="0" borderId="0" xfId="4"/>
    <xf numFmtId="43" fontId="0" fillId="0" borderId="0" xfId="5" applyFont="1"/>
    <xf numFmtId="43" fontId="0" fillId="0" borderId="7" xfId="5" applyFont="1" applyBorder="1"/>
    <xf numFmtId="14" fontId="11" fillId="0" borderId="0" xfId="4" applyNumberFormat="1"/>
    <xf numFmtId="164" fontId="0" fillId="0" borderId="0" xfId="5" applyNumberFormat="1" applyFont="1"/>
    <xf numFmtId="165" fontId="0" fillId="0" borderId="7" xfId="6" applyNumberFormat="1" applyFont="1" applyBorder="1"/>
    <xf numFmtId="0" fontId="11" fillId="0" borderId="0" xfId="4" applyAlignment="1">
      <alignment horizontal="left"/>
    </xf>
    <xf numFmtId="164" fontId="0" fillId="0" borderId="8" xfId="5" applyNumberFormat="1" applyFont="1" applyBorder="1"/>
    <xf numFmtId="165" fontId="0" fillId="0" borderId="0" xfId="6" applyNumberFormat="1" applyFont="1" applyBorder="1"/>
    <xf numFmtId="164" fontId="12" fillId="0" borderId="0" xfId="5" applyNumberFormat="1" applyFont="1" applyAlignment="1">
      <alignment horizontal="center"/>
    </xf>
    <xf numFmtId="0" fontId="12" fillId="0" borderId="0" xfId="4" applyFont="1" applyAlignment="1">
      <alignment horizontal="center"/>
    </xf>
    <xf numFmtId="0" fontId="13" fillId="0" borderId="0" xfId="7"/>
    <xf numFmtId="166" fontId="14" fillId="0" borderId="0" xfId="8"/>
    <xf numFmtId="166" fontId="15" fillId="0" borderId="0" xfId="9"/>
    <xf numFmtId="0" fontId="15" fillId="0" borderId="0" xfId="10"/>
    <xf numFmtId="166" fontId="15" fillId="2" borderId="0" xfId="9" applyFill="1"/>
    <xf numFmtId="166" fontId="15" fillId="0" borderId="0" xfId="11"/>
    <xf numFmtId="0" fontId="15" fillId="0" borderId="0" xfId="12"/>
    <xf numFmtId="166" fontId="14" fillId="0" borderId="0" xfId="13"/>
    <xf numFmtId="0" fontId="16" fillId="0" borderId="0" xfId="14"/>
    <xf numFmtId="0" fontId="17" fillId="0" borderId="0" xfId="10" applyFont="1"/>
    <xf numFmtId="0" fontId="18" fillId="0" borderId="0" xfId="10" applyFont="1"/>
    <xf numFmtId="0" fontId="19" fillId="0" borderId="0" xfId="10" applyFont="1"/>
    <xf numFmtId="0" fontId="20" fillId="0" borderId="0" xfId="7" applyFont="1"/>
    <xf numFmtId="0" fontId="21" fillId="0" borderId="0" xfId="0" applyFont="1"/>
    <xf numFmtId="0" fontId="17" fillId="0" borderId="0" xfId="7" applyFont="1"/>
    <xf numFmtId="0" fontId="19" fillId="0" borderId="9" xfId="10" applyFont="1" applyBorder="1"/>
    <xf numFmtId="0" fontId="0" fillId="0" borderId="9" xfId="0" applyBorder="1"/>
    <xf numFmtId="167" fontId="21" fillId="0" borderId="0" xfId="0" applyNumberFormat="1" applyFont="1"/>
    <xf numFmtId="168" fontId="0" fillId="0" borderId="0" xfId="1" applyNumberFormat="1" applyFont="1"/>
    <xf numFmtId="164" fontId="0" fillId="0" borderId="0" xfId="1" applyNumberFormat="1" applyFont="1"/>
    <xf numFmtId="167" fontId="21" fillId="0" borderId="0" xfId="0" applyNumberFormat="1" applyFont="1" applyAlignment="1">
      <alignment horizontal="center"/>
    </xf>
    <xf numFmtId="0" fontId="0" fillId="3" borderId="0" xfId="0" applyFill="1"/>
    <xf numFmtId="0" fontId="2" fillId="3" borderId="0" xfId="0" applyFont="1" applyFill="1"/>
    <xf numFmtId="0" fontId="2" fillId="4" borderId="10" xfId="0" applyFont="1" applyFill="1" applyBorder="1" applyAlignment="1">
      <alignment horizontal="center"/>
    </xf>
    <xf numFmtId="0" fontId="3" fillId="0" borderId="9" xfId="0" applyFont="1" applyBorder="1"/>
    <xf numFmtId="0" fontId="3" fillId="0" borderId="7" xfId="0" applyFont="1" applyBorder="1"/>
    <xf numFmtId="0" fontId="0" fillId="0" borderId="7" xfId="0" applyBorder="1"/>
    <xf numFmtId="164" fontId="3" fillId="0" borderId="9" xfId="1" applyNumberFormat="1" applyFont="1" applyBorder="1"/>
    <xf numFmtId="169" fontId="0" fillId="0" borderId="0" xfId="2" applyNumberFormat="1" applyFont="1"/>
    <xf numFmtId="164" fontId="3" fillId="0" borderId="7" xfId="1" applyNumberFormat="1" applyFont="1" applyBorder="1"/>
    <xf numFmtId="0" fontId="2" fillId="4" borderId="11" xfId="0" applyFont="1" applyFill="1" applyBorder="1" applyAlignment="1">
      <alignment horizontal="center"/>
    </xf>
    <xf numFmtId="0" fontId="17" fillId="0" borderId="0" xfId="12" applyFont="1"/>
    <xf numFmtId="4" fontId="13" fillId="0" borderId="0" xfId="7" applyNumberFormat="1"/>
    <xf numFmtId="164" fontId="1" fillId="0" borderId="0" xfId="1" applyNumberFormat="1" applyFont="1" applyBorder="1"/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9" xfId="0" applyBorder="1" applyAlignment="1">
      <alignment horizontal="left" indent="1"/>
    </xf>
    <xf numFmtId="0" fontId="22" fillId="0" borderId="0" xfId="0" applyFont="1"/>
    <xf numFmtId="164" fontId="0" fillId="0" borderId="0" xfId="0" applyNumberFormat="1"/>
    <xf numFmtId="164" fontId="3" fillId="0" borderId="0" xfId="1" applyNumberFormat="1" applyFont="1"/>
    <xf numFmtId="164" fontId="3" fillId="0" borderId="0" xfId="0" applyNumberFormat="1" applyFont="1"/>
    <xf numFmtId="0" fontId="3" fillId="0" borderId="8" xfId="0" applyFont="1" applyBorder="1"/>
    <xf numFmtId="164" fontId="3" fillId="0" borderId="8" xfId="0" applyNumberFormat="1" applyFont="1" applyBorder="1"/>
    <xf numFmtId="164" fontId="3" fillId="0" borderId="9" xfId="0" applyNumberFormat="1" applyFont="1" applyBorder="1"/>
  </cellXfs>
  <cellStyles count="15">
    <cellStyle name="Comma" xfId="1" builtinId="3"/>
    <cellStyle name="Comma 2" xfId="5" xr:uid="{79E20748-84BB-4AFC-B859-42DD22297B94}"/>
    <cellStyle name="Currency 2" xfId="6" xr:uid="{29C87EC2-0DF7-497A-9EC7-5799F8634AD2}"/>
    <cellStyle name="F0" xfId="10" xr:uid="{29F47C63-E046-4F75-9325-AB4FF0E3DF7F}"/>
    <cellStyle name="F0 2" xfId="14" xr:uid="{0531A859-ED99-4038-8226-CF0837F0A7F2}"/>
    <cellStyle name="F1" xfId="9" xr:uid="{2C28D423-E6CD-44B6-94C4-7879A2569F1B}"/>
    <cellStyle name="F1 2" xfId="12" xr:uid="{C12E99BD-B1BF-40C3-B03C-7AE5A0538E32}"/>
    <cellStyle name="F2" xfId="8" xr:uid="{6B4667E3-70FB-4D70-BBB6-E6C8C0EFCDB6}"/>
    <cellStyle name="F2 2" xfId="11" xr:uid="{6F0CE99A-88C2-4FE8-96C6-E70E5D0C8FDE}"/>
    <cellStyle name="F3" xfId="13" xr:uid="{BC071548-C5B9-4FAB-B434-DD10649C69FE}"/>
    <cellStyle name="Hyperlink" xfId="3" builtinId="8"/>
    <cellStyle name="Normal" xfId="0" builtinId="0"/>
    <cellStyle name="Normal 2" xfId="4" xr:uid="{53AA9680-6316-44DD-B8D2-7E116F3D03F8}"/>
    <cellStyle name="Normal 3" xfId="7" xr:uid="{B9BA4D0A-95E7-4706-877F-87074A795697}"/>
    <cellStyle name="Percent" xfId="2" builtinId="5"/>
  </cellStyles>
  <dxfs count="0"/>
  <tableStyles count="0" defaultTableStyle="TableStyleMedium2" defaultPivotStyle="PivotStyleLight16"/>
  <colors>
    <mruColors>
      <color rgb="FF5E5E5F"/>
      <color rgb="FFA48373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73427</xdr:colOff>
      <xdr:row>1</xdr:row>
      <xdr:rowOff>30038</xdr:rowOff>
    </xdr:from>
    <xdr:to>
      <xdr:col>2</xdr:col>
      <xdr:colOff>1094972</xdr:colOff>
      <xdr:row>4</xdr:row>
      <xdr:rowOff>1713</xdr:rowOff>
    </xdr:to>
    <xdr:pic>
      <xdr:nvPicPr>
        <xdr:cNvPr id="2" name="Picture 1" descr="Kreshmore Group | Restructuring, Mergers, &amp; Acquisitions Uncategorized 293">
          <a:extLst>
            <a:ext uri="{FF2B5EF4-FFF2-40B4-BE49-F238E27FC236}">
              <a16:creationId xmlns:a16="http://schemas.microsoft.com/office/drawing/2014/main" id="{122C186A-0F13-F25E-854A-E29A3E425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402" y="191963"/>
          <a:ext cx="1948645" cy="45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McGoorty@kreshmor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13EA-70D0-4BDD-85AA-0B0D72D2A2A8}">
  <sheetPr>
    <tabColor rgb="FF5E5E5F"/>
  </sheetPr>
  <dimension ref="B9:C23"/>
  <sheetViews>
    <sheetView showGridLines="0" tabSelected="1" view="pageBreakPreview" zoomScaleNormal="100" zoomScaleSheetLayoutView="100" workbookViewId="0"/>
  </sheetViews>
  <sheetFormatPr defaultRowHeight="12.5" x14ac:dyDescent="0.25"/>
  <cols>
    <col min="1" max="1" width="2.6328125" customWidth="1"/>
    <col min="2" max="2" width="13.1796875" bestFit="1" customWidth="1"/>
    <col min="3" max="3" width="33" bestFit="1" customWidth="1"/>
  </cols>
  <sheetData>
    <row r="9" spans="2:3" ht="37.5" x14ac:dyDescent="0.75">
      <c r="B9" s="1" t="s">
        <v>3</v>
      </c>
    </row>
    <row r="10" spans="2:3" ht="2" customHeight="1" x14ac:dyDescent="0.75">
      <c r="B10" s="1"/>
    </row>
    <row r="11" spans="2:3" ht="23" x14ac:dyDescent="0.5">
      <c r="B11" s="2" t="s">
        <v>1</v>
      </c>
    </row>
    <row r="14" spans="2:3" ht="13" x14ac:dyDescent="0.3">
      <c r="B14" s="4" t="s">
        <v>4</v>
      </c>
      <c r="C14" s="5">
        <f ca="1">TODAY()</f>
        <v>45995</v>
      </c>
    </row>
    <row r="17" spans="2:3" ht="14" x14ac:dyDescent="0.3">
      <c r="B17" s="6" t="s">
        <v>5</v>
      </c>
    </row>
    <row r="18" spans="2:3" x14ac:dyDescent="0.25">
      <c r="B18" t="s">
        <v>6</v>
      </c>
      <c r="C18" s="7" t="s">
        <v>7</v>
      </c>
    </row>
    <row r="20" spans="2:3" ht="14" x14ac:dyDescent="0.3">
      <c r="B20" s="8" t="s">
        <v>8</v>
      </c>
      <c r="C20" s="9"/>
    </row>
    <row r="21" spans="2:3" ht="14" x14ac:dyDescent="0.3">
      <c r="B21" s="10" t="s">
        <v>9</v>
      </c>
      <c r="C21" s="9" t="s">
        <v>10</v>
      </c>
    </row>
    <row r="22" spans="2:3" ht="14" x14ac:dyDescent="0.3">
      <c r="B22" s="11" t="s">
        <v>11</v>
      </c>
      <c r="C22" s="12" t="s">
        <v>12</v>
      </c>
    </row>
    <row r="23" spans="2:3" ht="14" x14ac:dyDescent="0.3">
      <c r="B23" s="13" t="s">
        <v>13</v>
      </c>
      <c r="C23" s="14" t="s">
        <v>14</v>
      </c>
    </row>
  </sheetData>
  <hyperlinks>
    <hyperlink ref="C18" r:id="rId1" xr:uid="{8A609650-24B3-44DC-BC3B-12750447BDD4}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6CD3-E750-4F37-A098-1C4A57BC722B}">
  <dimension ref="B1:T30"/>
  <sheetViews>
    <sheetView showGridLines="0" view="pageBreakPreview" zoomScaleNormal="100" zoomScaleSheetLayoutView="100" workbookViewId="0"/>
  </sheetViews>
  <sheetFormatPr defaultRowHeight="12.5" x14ac:dyDescent="0.25"/>
  <cols>
    <col min="1" max="2" width="2.6328125" customWidth="1"/>
    <col min="3" max="3" width="28.6328125" customWidth="1"/>
    <col min="4" max="8" width="12.6328125" customWidth="1"/>
    <col min="10" max="10" width="2.6328125" customWidth="1"/>
    <col min="11" max="11" width="28.6328125" bestFit="1" customWidth="1"/>
    <col min="12" max="16" width="12.6328125" customWidth="1"/>
  </cols>
  <sheetData>
    <row r="1" spans="2:20" ht="13" x14ac:dyDescent="0.3">
      <c r="B1" s="36" t="s">
        <v>462</v>
      </c>
      <c r="C1" s="36"/>
      <c r="N1" s="42"/>
      <c r="O1" s="42"/>
      <c r="P1" s="42"/>
      <c r="Q1" s="42"/>
      <c r="R1" s="42"/>
      <c r="S1" s="42"/>
      <c r="T1" s="42"/>
    </row>
    <row r="2" spans="2:20" ht="13" x14ac:dyDescent="0.3">
      <c r="B2" s="41" t="s">
        <v>555</v>
      </c>
      <c r="C2" s="41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4" spans="2:20" ht="13" x14ac:dyDescent="0.3">
      <c r="B4" s="48" t="s">
        <v>555</v>
      </c>
      <c r="C4" s="48"/>
      <c r="D4" s="47"/>
      <c r="E4" s="47"/>
      <c r="F4" s="47"/>
      <c r="G4" s="47"/>
      <c r="H4" s="47"/>
      <c r="J4" s="48" t="s">
        <v>555</v>
      </c>
      <c r="K4" s="48"/>
      <c r="L4" s="47"/>
      <c r="M4" s="47"/>
      <c r="N4" s="47"/>
      <c r="O4" s="47"/>
      <c r="P4" s="47"/>
    </row>
    <row r="5" spans="2:20" ht="16" x14ac:dyDescent="0.6">
      <c r="B5" s="48" t="s">
        <v>556</v>
      </c>
      <c r="C5" s="48"/>
      <c r="D5" s="46">
        <v>44561</v>
      </c>
      <c r="E5" s="46">
        <f>EOMONTH(D5,12)</f>
        <v>44926</v>
      </c>
      <c r="F5" s="46">
        <f t="shared" ref="F5:G5" si="0">EOMONTH(E5,12)</f>
        <v>45291</v>
      </c>
      <c r="G5" s="46">
        <f t="shared" si="0"/>
        <v>45657</v>
      </c>
      <c r="H5" s="46">
        <f>EOMONTH(G5,9)</f>
        <v>45930</v>
      </c>
      <c r="J5" s="48" t="s">
        <v>561</v>
      </c>
      <c r="K5" s="48"/>
      <c r="L5" s="46">
        <v>44561</v>
      </c>
      <c r="M5" s="46">
        <f>EOMONTH(L5,12)</f>
        <v>44926</v>
      </c>
      <c r="N5" s="46">
        <f t="shared" ref="N5:O5" si="1">EOMONTH(M5,12)</f>
        <v>45291</v>
      </c>
      <c r="O5" s="46">
        <f t="shared" si="1"/>
        <v>45657</v>
      </c>
      <c r="P5" s="46">
        <f>EOMONTH(O5,9)</f>
        <v>45930</v>
      </c>
    </row>
    <row r="6" spans="2:20" ht="2" customHeight="1" x14ac:dyDescent="0.25"/>
    <row r="7" spans="2:20" ht="13" x14ac:dyDescent="0.3">
      <c r="B7" s="3" t="s">
        <v>508</v>
      </c>
      <c r="D7" s="65">
        <f>EBITDA!D7</f>
        <v>119984</v>
      </c>
      <c r="E7" s="65">
        <f>EBITDA!E7</f>
        <v>1556136</v>
      </c>
      <c r="F7" s="65">
        <f>EBITDA!F7</f>
        <v>1000851</v>
      </c>
      <c r="G7" s="65">
        <f>EBITDA!G7</f>
        <v>220635</v>
      </c>
      <c r="H7" s="65">
        <f>EBITDA!H7</f>
        <v>121987</v>
      </c>
      <c r="J7" s="3" t="s">
        <v>508</v>
      </c>
      <c r="L7" s="65">
        <f>'Income Statement'!D56</f>
        <v>46895.679999999884</v>
      </c>
      <c r="M7" s="65">
        <f>'Income Statement'!E56</f>
        <v>-918089.76</v>
      </c>
      <c r="N7" s="65">
        <f>'Income Statement'!F56</f>
        <v>329947.50999999989</v>
      </c>
      <c r="O7" s="65">
        <f>'Income Statement'!G56</f>
        <v>735738.72000000009</v>
      </c>
      <c r="P7" s="65">
        <f>'Income Statement'!H56</f>
        <v>-82188.269999999946</v>
      </c>
    </row>
    <row r="9" spans="2:20" x14ac:dyDescent="0.25">
      <c r="C9" t="s">
        <v>557</v>
      </c>
      <c r="D9" s="45">
        <f>EBITDA!D9</f>
        <v>69999</v>
      </c>
      <c r="E9" s="45">
        <f>EBITDA!E9</f>
        <v>78628</v>
      </c>
      <c r="F9" s="45">
        <f>EBITDA!F9</f>
        <v>168273</v>
      </c>
      <c r="G9" s="45">
        <f>EBITDA!G9</f>
        <v>134718</v>
      </c>
      <c r="H9" s="45">
        <f>EBITDA!H9</f>
        <v>17000</v>
      </c>
      <c r="K9" t="s">
        <v>557</v>
      </c>
      <c r="L9" s="45">
        <f>'Income Statement'!D39+'Income Statement'!D22</f>
        <v>5833.33</v>
      </c>
      <c r="M9" s="45">
        <f>'Income Statement'!E39+'Income Statement'!E22</f>
        <v>14461.69</v>
      </c>
      <c r="N9" s="45">
        <f>'Income Statement'!F39+'Income Statement'!F22</f>
        <v>43516.43</v>
      </c>
      <c r="O9" s="45">
        <f>'Income Statement'!G39+'Income Statement'!G22</f>
        <v>109436</v>
      </c>
      <c r="P9" s="45">
        <f>'Income Statement'!H39+'Income Statement'!H22</f>
        <v>375</v>
      </c>
    </row>
    <row r="10" spans="2:20" x14ac:dyDescent="0.25">
      <c r="C10" t="s">
        <v>43</v>
      </c>
      <c r="D10" s="45">
        <f>EBITDA!D10</f>
        <v>0</v>
      </c>
      <c r="E10" s="45">
        <f>EBITDA!E10</f>
        <v>0</v>
      </c>
      <c r="F10" s="45">
        <f>EBITDA!F10</f>
        <v>13668</v>
      </c>
      <c r="G10" s="45">
        <f>EBITDA!G10</f>
        <v>5890</v>
      </c>
      <c r="H10" s="45">
        <f>EBITDA!H10</f>
        <v>9986</v>
      </c>
      <c r="K10" t="s">
        <v>43</v>
      </c>
      <c r="L10" s="45">
        <f>-'Income Statement'!D46</f>
        <v>0</v>
      </c>
      <c r="M10" s="45">
        <f>-'Income Statement'!E46</f>
        <v>135.63999999999999</v>
      </c>
      <c r="N10" s="45">
        <f>-'Income Statement'!F46</f>
        <v>3878.91</v>
      </c>
      <c r="O10" s="45">
        <f>-'Income Statement'!G46</f>
        <v>240.56</v>
      </c>
      <c r="P10" s="45">
        <f>-'Income Statement'!H46</f>
        <v>724.46</v>
      </c>
    </row>
    <row r="11" spans="2:20" x14ac:dyDescent="0.25">
      <c r="C11" t="s">
        <v>42</v>
      </c>
      <c r="D11" s="45">
        <f>EBITDA!D11</f>
        <v>25</v>
      </c>
      <c r="E11" s="45">
        <f>EBITDA!E11</f>
        <v>0</v>
      </c>
      <c r="F11" s="45">
        <f>EBITDA!F11</f>
        <v>30767</v>
      </c>
      <c r="G11" s="45">
        <f>EBITDA!G11</f>
        <v>80165</v>
      </c>
      <c r="H11" s="45">
        <f>EBITDA!H11</f>
        <v>0</v>
      </c>
      <c r="K11" t="s">
        <v>42</v>
      </c>
      <c r="L11" s="45">
        <f>'Income Statement'!D54</f>
        <v>0</v>
      </c>
      <c r="M11" s="45">
        <f>'Income Statement'!E54</f>
        <v>166364.31</v>
      </c>
      <c r="N11" s="45">
        <f>'Income Statement'!F54</f>
        <v>26209.75</v>
      </c>
      <c r="O11" s="45">
        <f>'Income Statement'!G54</f>
        <v>6209.75</v>
      </c>
      <c r="P11" s="45">
        <f>'Income Statement'!H54</f>
        <v>0</v>
      </c>
    </row>
    <row r="12" spans="2:20" x14ac:dyDescent="0.25">
      <c r="C12" t="s">
        <v>41</v>
      </c>
      <c r="D12" s="45">
        <f>EBITDA!D12</f>
        <v>-4611</v>
      </c>
      <c r="E12" s="45">
        <f>EBITDA!E12</f>
        <v>0</v>
      </c>
      <c r="F12" s="45">
        <f>EBITDA!F12</f>
        <v>0</v>
      </c>
      <c r="G12" s="45">
        <f>EBITDA!G12</f>
        <v>0</v>
      </c>
      <c r="H12" s="45">
        <f>EBITDA!H12</f>
        <v>0</v>
      </c>
      <c r="K12" t="s">
        <v>562</v>
      </c>
      <c r="L12" s="45">
        <f>-'Income Statement'!D48</f>
        <v>0</v>
      </c>
      <c r="M12" s="45">
        <f>-'Income Statement'!E48</f>
        <v>0</v>
      </c>
      <c r="N12" s="45">
        <f>-'Income Statement'!F48</f>
        <v>0</v>
      </c>
      <c r="O12" s="45">
        <f>-'Income Statement'!G48</f>
        <v>35311.14</v>
      </c>
      <c r="P12" s="45">
        <f>-'Income Statement'!H48</f>
        <v>0</v>
      </c>
    </row>
    <row r="13" spans="2:20" x14ac:dyDescent="0.25">
      <c r="C13" t="s">
        <v>40</v>
      </c>
      <c r="D13" s="45">
        <f>EBITDA!D13</f>
        <v>-23926</v>
      </c>
      <c r="E13" s="45">
        <f>EBITDA!E13</f>
        <v>-111926</v>
      </c>
      <c r="F13" s="45">
        <f>EBITDA!F13</f>
        <v>-14523</v>
      </c>
      <c r="G13" s="45">
        <f>EBITDA!G13</f>
        <v>17634</v>
      </c>
      <c r="H13" s="45">
        <f>EBITDA!H13</f>
        <v>-130431</v>
      </c>
      <c r="K13" t="s">
        <v>40</v>
      </c>
      <c r="L13" s="45">
        <f>-'Income Statement'!D47</f>
        <v>-5872.84</v>
      </c>
      <c r="M13" s="45">
        <f>-'Income Statement'!E47</f>
        <v>-3448.65</v>
      </c>
      <c r="N13" s="45">
        <f>-'Income Statement'!F47</f>
        <v>-3801.01</v>
      </c>
      <c r="O13" s="45">
        <f>-'Income Statement'!G47</f>
        <v>-4698.91</v>
      </c>
      <c r="P13" s="45">
        <f>-'Income Statement'!H47</f>
        <v>-7147.64</v>
      </c>
    </row>
    <row r="14" spans="2:20" ht="13" x14ac:dyDescent="0.3">
      <c r="B14" s="50" t="s">
        <v>558</v>
      </c>
      <c r="C14" s="42"/>
      <c r="D14" s="53">
        <f>SUM(D9:D13)</f>
        <v>41487</v>
      </c>
      <c r="E14" s="53">
        <f t="shared" ref="E14:H14" si="2">SUM(E9:E13)</f>
        <v>-33298</v>
      </c>
      <c r="F14" s="53">
        <f t="shared" si="2"/>
        <v>198185</v>
      </c>
      <c r="G14" s="53">
        <f t="shared" si="2"/>
        <v>238407</v>
      </c>
      <c r="H14" s="53">
        <f t="shared" si="2"/>
        <v>-103445</v>
      </c>
      <c r="J14" s="50" t="s">
        <v>558</v>
      </c>
      <c r="K14" s="42"/>
      <c r="L14" s="53">
        <f>SUM(L9:L13)</f>
        <v>-39.510000000000218</v>
      </c>
      <c r="M14" s="53">
        <f t="shared" ref="M14" si="3">SUM(M9:M13)</f>
        <v>177512.99</v>
      </c>
      <c r="N14" s="53">
        <f t="shared" ref="N14" si="4">SUM(N9:N13)</f>
        <v>69804.08</v>
      </c>
      <c r="O14" s="53">
        <f t="shared" ref="O14" si="5">SUM(O9:O13)</f>
        <v>146498.54</v>
      </c>
      <c r="P14" s="53">
        <f t="shared" ref="P14" si="6">SUM(P9:P13)</f>
        <v>-6048.18</v>
      </c>
    </row>
    <row r="15" spans="2:20" x14ac:dyDescent="0.25">
      <c r="D15" s="45"/>
      <c r="E15" s="45"/>
      <c r="F15" s="45"/>
      <c r="G15" s="45"/>
      <c r="H15" s="45"/>
      <c r="L15" s="45"/>
      <c r="M15" s="45"/>
      <c r="N15" s="45"/>
      <c r="O15" s="45"/>
      <c r="P15" s="45"/>
    </row>
    <row r="16" spans="2:20" ht="13" x14ac:dyDescent="0.3">
      <c r="B16" s="3" t="s">
        <v>39</v>
      </c>
      <c r="D16" s="66">
        <f>D7+D14</f>
        <v>161471</v>
      </c>
      <c r="E16" s="66">
        <f t="shared" ref="E16:H16" si="7">E7+E14</f>
        <v>1522838</v>
      </c>
      <c r="F16" s="66">
        <f t="shared" si="7"/>
        <v>1199036</v>
      </c>
      <c r="G16" s="66">
        <f t="shared" si="7"/>
        <v>459042</v>
      </c>
      <c r="H16" s="66">
        <f t="shared" si="7"/>
        <v>18542</v>
      </c>
      <c r="J16" s="3" t="s">
        <v>39</v>
      </c>
      <c r="L16" s="66">
        <f>L7+L14</f>
        <v>46856.169999999882</v>
      </c>
      <c r="M16" s="66">
        <f t="shared" ref="M16:P16" si="8">M7+M14</f>
        <v>-740576.77</v>
      </c>
      <c r="N16" s="66">
        <f t="shared" si="8"/>
        <v>399751.58999999991</v>
      </c>
      <c r="O16" s="66">
        <f t="shared" si="8"/>
        <v>882237.26000000013</v>
      </c>
      <c r="P16" s="66">
        <f t="shared" si="8"/>
        <v>-88236.449999999953</v>
      </c>
    </row>
    <row r="18" spans="2:16" ht="13" x14ac:dyDescent="0.3">
      <c r="B18" s="3" t="s">
        <v>559</v>
      </c>
      <c r="J18" s="3" t="s">
        <v>563</v>
      </c>
    </row>
    <row r="19" spans="2:16" x14ac:dyDescent="0.25">
      <c r="C19" t="s">
        <v>37</v>
      </c>
      <c r="D19" s="45">
        <f>EBITDA!D18</f>
        <v>355769</v>
      </c>
      <c r="E19" s="45">
        <f>EBITDA!E18</f>
        <v>364361</v>
      </c>
      <c r="F19" s="45">
        <f>EBITDA!F18</f>
        <v>171000</v>
      </c>
      <c r="G19" s="45">
        <f>EBITDA!G18</f>
        <v>100000</v>
      </c>
      <c r="H19" s="45">
        <f>EBITDA!H18</f>
        <v>75000</v>
      </c>
      <c r="K19" t="s">
        <v>37</v>
      </c>
      <c r="L19" s="45">
        <f>'Detailed IS'!F104</f>
        <v>31846.15</v>
      </c>
      <c r="M19" s="45">
        <f>'Detailed IS'!G104</f>
        <v>31375.39</v>
      </c>
      <c r="N19" s="45">
        <f>'Detailed IS'!H104</f>
        <v>9615.4</v>
      </c>
      <c r="O19" s="45">
        <f>'Detailed IS'!I104</f>
        <v>8884.6299999999992</v>
      </c>
      <c r="P19" s="45">
        <f>'Detailed IS'!J104</f>
        <v>0</v>
      </c>
    </row>
    <row r="20" spans="2:16" x14ac:dyDescent="0.25">
      <c r="C20" t="s">
        <v>36</v>
      </c>
      <c r="D20" s="45">
        <f>EBITDA!D19</f>
        <v>180693</v>
      </c>
      <c r="E20" s="45">
        <f>EBITDA!E19</f>
        <v>180000</v>
      </c>
      <c r="F20" s="45">
        <f>EBITDA!F19</f>
        <v>224000</v>
      </c>
      <c r="G20" s="45">
        <f>EBITDA!G19</f>
        <v>240000</v>
      </c>
      <c r="H20" s="45">
        <f>EBITDA!H19</f>
        <v>178846</v>
      </c>
      <c r="K20" t="s">
        <v>36</v>
      </c>
      <c r="L20" s="45">
        <f>'Detailed IS'!F108</f>
        <v>15923.11</v>
      </c>
      <c r="M20" s="45">
        <f>'Detailed IS'!G108</f>
        <v>15230.8</v>
      </c>
      <c r="N20" s="45">
        <f>'Detailed IS'!H108</f>
        <v>19384.64</v>
      </c>
      <c r="O20" s="45">
        <f>'Detailed IS'!I108</f>
        <v>20307.71</v>
      </c>
      <c r="P20" s="45">
        <f>'Detailed IS'!J108</f>
        <v>20307.71</v>
      </c>
    </row>
    <row r="21" spans="2:16" x14ac:dyDescent="0.25">
      <c r="C21" t="s">
        <v>35</v>
      </c>
      <c r="D21" s="45">
        <f>EBITDA!D20</f>
        <v>15000</v>
      </c>
      <c r="E21" s="45">
        <f>EBITDA!E20</f>
        <v>0</v>
      </c>
      <c r="F21" s="45">
        <f>EBITDA!F20</f>
        <v>0</v>
      </c>
      <c r="G21" s="45">
        <f>EBITDA!G20</f>
        <v>0</v>
      </c>
      <c r="H21" s="45">
        <f>EBITDA!H20</f>
        <v>0</v>
      </c>
      <c r="K21" t="s">
        <v>35</v>
      </c>
      <c r="L21" s="45">
        <f>EBITDA!L20</f>
        <v>0</v>
      </c>
      <c r="M21" s="45">
        <f>EBITDA!M20</f>
        <v>0</v>
      </c>
      <c r="N21" s="45">
        <f>EBITDA!N20</f>
        <v>0</v>
      </c>
      <c r="O21" s="45">
        <f>EBITDA!O20</f>
        <v>0</v>
      </c>
      <c r="P21" s="45">
        <f>EBITDA!P20</f>
        <v>0</v>
      </c>
    </row>
    <row r="22" spans="2:16" x14ac:dyDescent="0.25">
      <c r="C22" t="s">
        <v>34</v>
      </c>
      <c r="D22" s="45">
        <f>EBITDA!D21</f>
        <v>10580</v>
      </c>
      <c r="E22" s="45">
        <f>EBITDA!E21</f>
        <v>28054</v>
      </c>
      <c r="F22" s="45">
        <f>EBITDA!F21</f>
        <v>31288</v>
      </c>
      <c r="G22" s="45">
        <f>EBITDA!G21</f>
        <v>53880</v>
      </c>
      <c r="H22" s="45">
        <f>EBITDA!H21</f>
        <v>86402</v>
      </c>
      <c r="K22" t="s">
        <v>34</v>
      </c>
      <c r="L22" s="45">
        <f>'Detailed IS'!F123+'Detailed IS'!F122</f>
        <v>9479.7000000000007</v>
      </c>
      <c r="M22" s="45">
        <f>'Detailed IS'!G123+'Detailed IS'!G122</f>
        <v>31472.39</v>
      </c>
      <c r="N22" s="45">
        <f>'Detailed IS'!H123+'Detailed IS'!H122</f>
        <v>17643.54</v>
      </c>
      <c r="O22" s="45">
        <f>'Detailed IS'!I123+'Detailed IS'!I122</f>
        <v>24331.22</v>
      </c>
      <c r="P22" s="45">
        <f>'Detailed IS'!J123+'Detailed IS'!J122</f>
        <v>10911.51</v>
      </c>
    </row>
    <row r="23" spans="2:16" x14ac:dyDescent="0.25">
      <c r="C23" t="s">
        <v>33</v>
      </c>
      <c r="D23" s="45">
        <f>EBITDA!D22</f>
        <v>0</v>
      </c>
      <c r="E23" s="45">
        <f>EBITDA!E22</f>
        <v>37000</v>
      </c>
      <c r="F23" s="45">
        <f>EBITDA!F22</f>
        <v>45000</v>
      </c>
      <c r="G23" s="45">
        <f>EBITDA!G22</f>
        <v>0</v>
      </c>
      <c r="H23" s="45">
        <f>EBITDA!H22</f>
        <v>0</v>
      </c>
      <c r="K23" t="s">
        <v>33</v>
      </c>
      <c r="L23" s="45">
        <f>'Detailed IS'!F121</f>
        <v>15150</v>
      </c>
      <c r="M23" s="45">
        <f>'Detailed IS'!G121</f>
        <v>4000</v>
      </c>
      <c r="N23" s="45">
        <f>'Detailed IS'!H121</f>
        <v>24935</v>
      </c>
      <c r="O23" s="45">
        <f>'Detailed IS'!I121</f>
        <v>-13143</v>
      </c>
      <c r="P23" s="45">
        <f>'Detailed IS'!J121</f>
        <v>0</v>
      </c>
    </row>
    <row r="24" spans="2:16" x14ac:dyDescent="0.25">
      <c r="C24" t="s">
        <v>32</v>
      </c>
      <c r="D24" s="45">
        <f>EBITDA!D23</f>
        <v>0</v>
      </c>
      <c r="E24" s="45">
        <f>EBITDA!E23</f>
        <v>0</v>
      </c>
      <c r="F24" s="45">
        <f>EBITDA!F23</f>
        <v>0</v>
      </c>
      <c r="G24" s="45">
        <f>EBITDA!G23</f>
        <v>-265500</v>
      </c>
      <c r="H24" s="45">
        <f>EBITDA!H23</f>
        <v>265500</v>
      </c>
      <c r="K24" t="s">
        <v>32</v>
      </c>
      <c r="L24" s="45">
        <f>EBITDA!L23</f>
        <v>0</v>
      </c>
      <c r="M24" s="45">
        <f>EBITDA!M23</f>
        <v>0</v>
      </c>
      <c r="N24" s="45">
        <f>EBITDA!N23</f>
        <v>0</v>
      </c>
      <c r="O24" s="45">
        <f>EBITDA!O23</f>
        <v>0</v>
      </c>
      <c r="P24" s="45">
        <f>EBITDA!P23</f>
        <v>0</v>
      </c>
    </row>
    <row r="25" spans="2:16" x14ac:dyDescent="0.25">
      <c r="C25" t="s">
        <v>31</v>
      </c>
      <c r="D25" s="45">
        <f>EBITDA!D24</f>
        <v>40000</v>
      </c>
      <c r="E25" s="45">
        <f>EBITDA!E24</f>
        <v>40000</v>
      </c>
      <c r="F25" s="45">
        <f>EBITDA!F24</f>
        <v>40000</v>
      </c>
      <c r="G25" s="45">
        <f>EBITDA!G24</f>
        <v>40000</v>
      </c>
      <c r="H25" s="45">
        <f>EBITDA!H24</f>
        <v>40000</v>
      </c>
      <c r="K25" t="s">
        <v>31</v>
      </c>
      <c r="L25" s="45">
        <f>EBITDA!L24</f>
        <v>0</v>
      </c>
      <c r="M25" s="45">
        <f>EBITDA!M24</f>
        <v>0</v>
      </c>
      <c r="N25" s="45">
        <f>EBITDA!N24</f>
        <v>0</v>
      </c>
      <c r="O25" s="45">
        <f>EBITDA!O24</f>
        <v>0</v>
      </c>
      <c r="P25" s="45">
        <f>EBITDA!P24</f>
        <v>0</v>
      </c>
    </row>
    <row r="26" spans="2:16" ht="13" x14ac:dyDescent="0.3">
      <c r="B26" s="50" t="s">
        <v>560</v>
      </c>
      <c r="C26" s="42"/>
      <c r="D26" s="69">
        <f>SUM(D19:D25)</f>
        <v>602042</v>
      </c>
      <c r="E26" s="69">
        <f t="shared" ref="E26:H26" si="9">SUM(E19:E25)</f>
        <v>649415</v>
      </c>
      <c r="F26" s="69">
        <f t="shared" si="9"/>
        <v>511288</v>
      </c>
      <c r="G26" s="69">
        <f t="shared" si="9"/>
        <v>168380</v>
      </c>
      <c r="H26" s="69">
        <f t="shared" si="9"/>
        <v>645748</v>
      </c>
      <c r="J26" s="50" t="s">
        <v>560</v>
      </c>
      <c r="K26" s="42"/>
      <c r="L26" s="69">
        <f>SUM(L19:L25)</f>
        <v>72398.960000000006</v>
      </c>
      <c r="M26" s="69">
        <f t="shared" ref="M26" si="10">SUM(M19:M25)</f>
        <v>82078.58</v>
      </c>
      <c r="N26" s="69">
        <f t="shared" ref="N26" si="11">SUM(N19:N25)</f>
        <v>71578.58</v>
      </c>
      <c r="O26" s="69">
        <f t="shared" ref="O26" si="12">SUM(O19:O25)</f>
        <v>40380.559999999998</v>
      </c>
      <c r="P26" s="69">
        <f t="shared" ref="P26" si="13">SUM(P19:P25)</f>
        <v>31219.22</v>
      </c>
    </row>
    <row r="28" spans="2:16" ht="13.5" thickBot="1" x14ac:dyDescent="0.35">
      <c r="B28" s="67" t="s">
        <v>29</v>
      </c>
      <c r="C28" s="67"/>
      <c r="D28" s="68">
        <f>D16+D26</f>
        <v>763513</v>
      </c>
      <c r="E28" s="68">
        <f t="shared" ref="E28:H28" si="14">E16+E26</f>
        <v>2172253</v>
      </c>
      <c r="F28" s="68">
        <f t="shared" si="14"/>
        <v>1710324</v>
      </c>
      <c r="G28" s="68">
        <f t="shared" si="14"/>
        <v>627422</v>
      </c>
      <c r="H28" s="68">
        <f t="shared" si="14"/>
        <v>664290</v>
      </c>
      <c r="J28" s="67" t="s">
        <v>29</v>
      </c>
      <c r="K28" s="67"/>
      <c r="L28" s="68">
        <f>L16+L26</f>
        <v>119255.12999999989</v>
      </c>
      <c r="M28" s="68">
        <f t="shared" ref="M28:P28" si="15">M16+M26</f>
        <v>-658498.19000000006</v>
      </c>
      <c r="N28" s="68">
        <f t="shared" si="15"/>
        <v>471330.16999999993</v>
      </c>
      <c r="O28" s="68">
        <f t="shared" si="15"/>
        <v>922617.82000000007</v>
      </c>
      <c r="P28" s="68">
        <f t="shared" si="15"/>
        <v>-57017.229999999952</v>
      </c>
    </row>
    <row r="30" spans="2:16" x14ac:dyDescent="0.25">
      <c r="J30" t="s">
        <v>564</v>
      </c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4260-0B7F-47B6-9D5C-477510243E69}">
  <sheetPr>
    <tabColor rgb="FFA48373"/>
  </sheetPr>
  <dimension ref="B1:B2"/>
  <sheetViews>
    <sheetView showGridLines="0" view="pageBreakPreview" zoomScale="60" zoomScaleNormal="100" workbookViewId="0"/>
  </sheetViews>
  <sheetFormatPr defaultRowHeight="12.5" x14ac:dyDescent="0.25"/>
  <cols>
    <col min="1" max="1" width="2.6328125" customWidth="1"/>
  </cols>
  <sheetData>
    <row r="1" spans="2:2" ht="13" x14ac:dyDescent="0.3">
      <c r="B1" s="36"/>
    </row>
    <row r="2" spans="2:2" ht="13" x14ac:dyDescent="0.3">
      <c r="B2" s="3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7C573-6E83-487E-8B16-E19A3E8A9458}">
  <dimension ref="B1:N57"/>
  <sheetViews>
    <sheetView showGridLines="0" view="pageBreakPreview" zoomScale="85" zoomScaleNormal="100" zoomScaleSheetLayoutView="85" workbookViewId="0"/>
  </sheetViews>
  <sheetFormatPr defaultRowHeight="12.5" x14ac:dyDescent="0.25"/>
  <cols>
    <col min="1" max="2" width="2.6328125" customWidth="1"/>
    <col min="3" max="3" width="33.26953125" bestFit="1" customWidth="1"/>
    <col min="4" max="8" width="12.6328125" customWidth="1"/>
    <col min="9" max="9" width="2.6328125" customWidth="1"/>
  </cols>
  <sheetData>
    <row r="1" spans="2:14" ht="13" x14ac:dyDescent="0.3">
      <c r="B1" s="36" t="s">
        <v>462</v>
      </c>
    </row>
    <row r="2" spans="2:14" ht="13" x14ac:dyDescent="0.3">
      <c r="B2" s="41" t="s">
        <v>497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4" spans="2:14" ht="13" x14ac:dyDescent="0.3">
      <c r="B4" s="48" t="s">
        <v>3</v>
      </c>
      <c r="C4" s="47"/>
      <c r="D4" s="47"/>
      <c r="E4" s="47"/>
      <c r="F4" s="47"/>
      <c r="G4" s="47"/>
      <c r="H4" s="47"/>
      <c r="J4" s="48" t="s">
        <v>510</v>
      </c>
      <c r="K4" s="47"/>
      <c r="L4" s="47"/>
      <c r="M4" s="47"/>
      <c r="N4" s="47"/>
    </row>
    <row r="5" spans="2:14" ht="13" x14ac:dyDescent="0.3">
      <c r="B5" s="48" t="s">
        <v>497</v>
      </c>
      <c r="C5" s="47"/>
      <c r="D5" s="49" t="s">
        <v>498</v>
      </c>
      <c r="E5" s="49" t="s">
        <v>498</v>
      </c>
      <c r="F5" s="49" t="s">
        <v>498</v>
      </c>
      <c r="G5" s="49" t="s">
        <v>498</v>
      </c>
      <c r="H5" s="49" t="s">
        <v>498</v>
      </c>
      <c r="J5" s="49" t="s">
        <v>498</v>
      </c>
      <c r="K5" s="49" t="s">
        <v>498</v>
      </c>
      <c r="L5" s="49" t="s">
        <v>498</v>
      </c>
      <c r="M5" s="49" t="s">
        <v>498</v>
      </c>
      <c r="N5" s="56" t="s">
        <v>498</v>
      </c>
    </row>
    <row r="6" spans="2:14" ht="16" x14ac:dyDescent="0.6">
      <c r="B6" s="48"/>
      <c r="C6" s="47"/>
      <c r="D6" s="46">
        <v>44561</v>
      </c>
      <c r="E6" s="46">
        <f>EOMONTH(D6,12)</f>
        <v>44926</v>
      </c>
      <c r="F6" s="46">
        <f t="shared" ref="F6:G6" si="0">EOMONTH(E6,12)</f>
        <v>45291</v>
      </c>
      <c r="G6" s="46">
        <f t="shared" si="0"/>
        <v>45657</v>
      </c>
      <c r="H6" s="46">
        <f>EOMONTH(G6,9)</f>
        <v>45930</v>
      </c>
      <c r="J6" s="46">
        <v>44561</v>
      </c>
      <c r="K6" s="46">
        <f>EOMONTH(J6,12)</f>
        <v>44926</v>
      </c>
      <c r="L6" s="46">
        <f t="shared" ref="L6:M6" si="1">EOMONTH(K6,12)</f>
        <v>45291</v>
      </c>
      <c r="M6" s="46">
        <f t="shared" si="1"/>
        <v>45657</v>
      </c>
      <c r="N6" s="46">
        <f>EOMONTH(M6,9)</f>
        <v>45930</v>
      </c>
    </row>
    <row r="7" spans="2:14" ht="13" x14ac:dyDescent="0.3">
      <c r="B7" s="3" t="s">
        <v>466</v>
      </c>
      <c r="D7" s="45"/>
    </row>
    <row r="8" spans="2:14" x14ac:dyDescent="0.25">
      <c r="C8" t="s">
        <v>472</v>
      </c>
      <c r="D8" s="45">
        <f>SUMIFS('Detailed IS'!F:F,'Detailed IS'!$D:$D,$C8)</f>
        <v>1125166.1499999999</v>
      </c>
      <c r="E8" s="45">
        <f>SUMIFS('Detailed IS'!G:G,'Detailed IS'!$D:$D,$C8)</f>
        <v>515796.36</v>
      </c>
      <c r="F8" s="45">
        <f>SUMIFS('Detailed IS'!H:H,'Detailed IS'!$D:$D,$C8)</f>
        <v>1245336.3999999999</v>
      </c>
      <c r="G8" s="45">
        <f>SUMIFS('Detailed IS'!I:I,'Detailed IS'!$D:$D,$C8)</f>
        <v>937459.54</v>
      </c>
      <c r="H8" s="45">
        <f>SUMIFS('Detailed IS'!J:J,'Detailed IS'!$D:$D,$C8)</f>
        <v>392663.3</v>
      </c>
      <c r="J8" s="54">
        <f>D8/D$11</f>
        <v>0.99383910742931658</v>
      </c>
      <c r="K8" s="54">
        <f t="shared" ref="K8:N23" si="2">E8/E$11</f>
        <v>0.99901221437597632</v>
      </c>
      <c r="L8" s="54">
        <f t="shared" si="2"/>
        <v>0.99560350728399827</v>
      </c>
      <c r="M8" s="54">
        <f t="shared" si="2"/>
        <v>0.7189715932532138</v>
      </c>
      <c r="N8" s="54">
        <f t="shared" si="2"/>
        <v>0.9992365699290493</v>
      </c>
    </row>
    <row r="9" spans="2:14" x14ac:dyDescent="0.25">
      <c r="C9" t="s">
        <v>475</v>
      </c>
      <c r="D9" s="45">
        <f>SUMIFS('Detailed IS'!F:F,'Detailed IS'!$D:$D,$C9)</f>
        <v>6975</v>
      </c>
      <c r="E9" s="45">
        <f>SUMIFS('Detailed IS'!G:G,'Detailed IS'!$D:$D,$C9)</f>
        <v>510</v>
      </c>
      <c r="F9" s="45">
        <f>SUMIFS('Detailed IS'!H:H,'Detailed IS'!$D:$D,$C9)</f>
        <v>5499.29</v>
      </c>
      <c r="G9" s="45">
        <f>SUMIFS('Detailed IS'!I:I,'Detailed IS'!$D:$D,$C9)</f>
        <v>2198</v>
      </c>
      <c r="H9" s="45">
        <f>SUMIFS('Detailed IS'!J:J,'Detailed IS'!$D:$D,$C9)</f>
        <v>300</v>
      </c>
      <c r="J9" s="54">
        <f t="shared" ref="J9:J56" si="3">D9/D$11</f>
        <v>6.1608925706834348E-3</v>
      </c>
      <c r="K9" s="54">
        <f t="shared" si="2"/>
        <v>9.8778562402369006E-4</v>
      </c>
      <c r="L9" s="54">
        <f t="shared" si="2"/>
        <v>4.396492716001732E-3</v>
      </c>
      <c r="M9" s="54">
        <f t="shared" si="2"/>
        <v>1.6857256175243187E-3</v>
      </c>
      <c r="N9" s="54">
        <f t="shared" si="2"/>
        <v>7.6343007095064602E-4</v>
      </c>
    </row>
    <row r="10" spans="2:14" x14ac:dyDescent="0.25">
      <c r="C10" t="s">
        <v>473</v>
      </c>
      <c r="D10" s="45">
        <f>SUMIFS('Detailed IS'!F:F,'Detailed IS'!$D:$D,$C10)</f>
        <v>0</v>
      </c>
      <c r="E10" s="45">
        <f>SUMIFS('Detailed IS'!G:G,'Detailed IS'!$D:$D,$C10)</f>
        <v>0</v>
      </c>
      <c r="F10" s="45">
        <f>SUMIFS('Detailed IS'!H:H,'Detailed IS'!$D:$D,$C10)</f>
        <v>0</v>
      </c>
      <c r="G10" s="45">
        <f>SUMIFS('Detailed IS'!I:I,'Detailed IS'!$D:$D,$C10)</f>
        <v>364232</v>
      </c>
      <c r="H10" s="45">
        <f>SUMIFS('Detailed IS'!J:J,'Detailed IS'!$D:$D,$C10)</f>
        <v>0</v>
      </c>
      <c r="J10" s="54">
        <f t="shared" si="3"/>
        <v>0</v>
      </c>
      <c r="K10" s="54">
        <f t="shared" si="2"/>
        <v>0</v>
      </c>
      <c r="L10" s="54">
        <f t="shared" si="2"/>
        <v>0</v>
      </c>
      <c r="M10" s="54">
        <f t="shared" si="2"/>
        <v>0.27934268112926192</v>
      </c>
      <c r="N10" s="54">
        <f t="shared" si="2"/>
        <v>0</v>
      </c>
    </row>
    <row r="11" spans="2:14" ht="13" x14ac:dyDescent="0.3">
      <c r="B11" s="50" t="s">
        <v>499</v>
      </c>
      <c r="C11" s="42"/>
      <c r="D11" s="53">
        <f>SUM(D8:D10)</f>
        <v>1132141.1499999999</v>
      </c>
      <c r="E11" s="53">
        <f t="shared" ref="E11:H11" si="4">SUM(E8:E10)</f>
        <v>516306.36</v>
      </c>
      <c r="F11" s="53">
        <f t="shared" si="4"/>
        <v>1250835.69</v>
      </c>
      <c r="G11" s="53">
        <f t="shared" si="4"/>
        <v>1303889.54</v>
      </c>
      <c r="H11" s="53">
        <f t="shared" si="4"/>
        <v>392963.3</v>
      </c>
      <c r="J11" s="54">
        <f t="shared" si="3"/>
        <v>1</v>
      </c>
      <c r="K11" s="54">
        <f t="shared" si="2"/>
        <v>1</v>
      </c>
      <c r="L11" s="54">
        <f t="shared" si="2"/>
        <v>1</v>
      </c>
      <c r="M11" s="54">
        <f t="shared" si="2"/>
        <v>1</v>
      </c>
      <c r="N11" s="54">
        <f t="shared" si="2"/>
        <v>1</v>
      </c>
    </row>
    <row r="12" spans="2:14" x14ac:dyDescent="0.25">
      <c r="D12" s="45"/>
      <c r="J12" s="54"/>
      <c r="K12" s="54"/>
      <c r="L12" s="54"/>
      <c r="M12" s="54"/>
      <c r="N12" s="54"/>
    </row>
    <row r="13" spans="2:14" ht="13" x14ac:dyDescent="0.3">
      <c r="B13" s="3" t="s">
        <v>467</v>
      </c>
      <c r="D13" s="45"/>
      <c r="J13" s="54"/>
      <c r="K13" s="54"/>
      <c r="L13" s="54"/>
      <c r="M13" s="54"/>
      <c r="N13" s="54"/>
    </row>
    <row r="14" spans="2:14" x14ac:dyDescent="0.25">
      <c r="C14" t="s">
        <v>476</v>
      </c>
      <c r="D14" s="45">
        <f>SUMIFS('Detailed IS'!F:F,'Detailed IS'!$D:$D,$C14)</f>
        <v>197111.02000000002</v>
      </c>
      <c r="E14" s="45">
        <f>SUMIFS('Detailed IS'!G:G,'Detailed IS'!$D:$D,$C14)</f>
        <v>440595.55</v>
      </c>
      <c r="F14" s="45">
        <f>SUMIFS('Detailed IS'!H:H,'Detailed IS'!$D:$D,$C14)</f>
        <v>78394.86</v>
      </c>
      <c r="G14" s="45">
        <f>SUMIFS('Detailed IS'!I:I,'Detailed IS'!$D:$D,$C14)</f>
        <v>-205801.84</v>
      </c>
      <c r="H14" s="45">
        <f>SUMIFS('Detailed IS'!J:J,'Detailed IS'!$D:$D,$C14)</f>
        <v>57992.53</v>
      </c>
      <c r="J14" s="54">
        <f t="shared" si="3"/>
        <v>0.1741046335079332</v>
      </c>
      <c r="K14" s="54">
        <f t="shared" si="2"/>
        <v>0.85336068686041366</v>
      </c>
      <c r="L14" s="54">
        <f t="shared" si="2"/>
        <v>6.2673987180522486E-2</v>
      </c>
      <c r="M14" s="54">
        <f t="shared" si="2"/>
        <v>-0.15783686707081029</v>
      </c>
      <c r="N14" s="54">
        <f t="shared" si="2"/>
        <v>0.14757747097502488</v>
      </c>
    </row>
    <row r="15" spans="2:14" x14ac:dyDescent="0.25">
      <c r="C15" t="s">
        <v>482</v>
      </c>
      <c r="D15" s="45">
        <f>SUMIFS('Detailed IS'!F:F,'Detailed IS'!$D:$D,$C15)</f>
        <v>271970.64</v>
      </c>
      <c r="E15" s="45">
        <f>SUMIFS('Detailed IS'!G:G,'Detailed IS'!$D:$D,$C15)</f>
        <v>260468.72999999998</v>
      </c>
      <c r="F15" s="45">
        <f>SUMIFS('Detailed IS'!H:H,'Detailed IS'!$D:$D,$C15)</f>
        <v>272225.94000000006</v>
      </c>
      <c r="G15" s="45">
        <f>SUMIFS('Detailed IS'!I:I,'Detailed IS'!$D:$D,$C15)</f>
        <v>270315.94</v>
      </c>
      <c r="H15" s="45">
        <f>SUMIFS('Detailed IS'!J:J,'Detailed IS'!$D:$D,$C15)</f>
        <v>238865.15999999997</v>
      </c>
      <c r="J15" s="54">
        <f t="shared" si="3"/>
        <v>0.24022679504229666</v>
      </c>
      <c r="K15" s="54">
        <f t="shared" si="2"/>
        <v>0.50448483725825111</v>
      </c>
      <c r="L15" s="54">
        <f t="shared" si="2"/>
        <v>0.21763525151732765</v>
      </c>
      <c r="M15" s="54">
        <f t="shared" si="2"/>
        <v>0.20731506136631789</v>
      </c>
      <c r="N15" s="54">
        <f t="shared" si="2"/>
        <v>0.60785615348812472</v>
      </c>
    </row>
    <row r="16" spans="2:14" x14ac:dyDescent="0.25">
      <c r="C16" t="s">
        <v>474</v>
      </c>
      <c r="D16" s="45">
        <f>SUMIFS('Detailed IS'!F:F,'Detailed IS'!$D:$D,$C16)</f>
        <v>-4331.6999999999971</v>
      </c>
      <c r="E16" s="45">
        <f>SUMIFS('Detailed IS'!G:G,'Detailed IS'!$D:$D,$C16)</f>
        <v>21913.42</v>
      </c>
      <c r="F16" s="45">
        <f>SUMIFS('Detailed IS'!H:H,'Detailed IS'!$D:$D,$C16)</f>
        <v>50427.7</v>
      </c>
      <c r="G16" s="45">
        <f>SUMIFS('Detailed IS'!I:I,'Detailed IS'!$D:$D,$C16)</f>
        <v>-30164</v>
      </c>
      <c r="H16" s="45">
        <f>SUMIFS('Detailed IS'!J:J,'Detailed IS'!$D:$D,$C16)</f>
        <v>-70770.260000000009</v>
      </c>
      <c r="J16" s="54">
        <f t="shared" si="3"/>
        <v>-3.8261130248644329E-3</v>
      </c>
      <c r="K16" s="54">
        <f t="shared" si="2"/>
        <v>4.2442669116065118E-2</v>
      </c>
      <c r="L16" s="54">
        <f t="shared" si="2"/>
        <v>4.0315207187604313E-2</v>
      </c>
      <c r="M16" s="54">
        <f t="shared" si="2"/>
        <v>-2.3133861477253662E-2</v>
      </c>
      <c r="N16" s="54">
        <f t="shared" si="2"/>
        <v>-0.18009381537665226</v>
      </c>
    </row>
    <row r="17" spans="2:14" x14ac:dyDescent="0.25">
      <c r="C17" t="s">
        <v>477</v>
      </c>
      <c r="D17" s="45">
        <f>SUMIFS('Detailed IS'!F:F,'Detailed IS'!$D:$D,$C17)</f>
        <v>13578.35</v>
      </c>
      <c r="E17" s="45">
        <f>SUMIFS('Detailed IS'!G:G,'Detailed IS'!$D:$D,$C17)</f>
        <v>6833.06</v>
      </c>
      <c r="F17" s="45">
        <f>SUMIFS('Detailed IS'!H:H,'Detailed IS'!$D:$D,$C17)</f>
        <v>22493.41</v>
      </c>
      <c r="G17" s="45">
        <f>SUMIFS('Detailed IS'!I:I,'Detailed IS'!$D:$D,$C17)</f>
        <v>9512.15</v>
      </c>
      <c r="H17" s="45">
        <f>SUMIFS('Detailed IS'!J:J,'Detailed IS'!$D:$D,$C17)</f>
        <v>16237.04</v>
      </c>
      <c r="J17" s="54">
        <f t="shared" si="3"/>
        <v>1.19935133529949E-2</v>
      </c>
      <c r="K17" s="54">
        <f t="shared" si="2"/>
        <v>1.3234506737433954E-2</v>
      </c>
      <c r="L17" s="54">
        <f t="shared" si="2"/>
        <v>1.79827056261882E-2</v>
      </c>
      <c r="M17" s="54">
        <f t="shared" si="2"/>
        <v>7.2952115253566647E-3</v>
      </c>
      <c r="N17" s="54">
        <f t="shared" si="2"/>
        <v>4.1319481997428263E-2</v>
      </c>
    </row>
    <row r="18" spans="2:14" x14ac:dyDescent="0.25">
      <c r="C18" t="s">
        <v>479</v>
      </c>
      <c r="D18" s="45">
        <f>SUMIFS('Detailed IS'!F:F,'Detailed IS'!$D:$D,$C18)</f>
        <v>29942.329999999994</v>
      </c>
      <c r="E18" s="45">
        <f>SUMIFS('Detailed IS'!G:G,'Detailed IS'!$D:$D,$C18)</f>
        <v>15588.640000000003</v>
      </c>
      <c r="F18" s="45">
        <f>SUMIFS('Detailed IS'!H:H,'Detailed IS'!$D:$D,$C18)</f>
        <v>-11281.360000000004</v>
      </c>
      <c r="G18" s="45">
        <f>SUMIFS('Detailed IS'!I:I,'Detailed IS'!$D:$D,$C18)</f>
        <v>59598.5</v>
      </c>
      <c r="H18" s="45">
        <f>SUMIFS('Detailed IS'!J:J,'Detailed IS'!$D:$D,$C18)</f>
        <v>24568.059999999998</v>
      </c>
      <c r="J18" s="54">
        <f t="shared" si="3"/>
        <v>2.6447523791534294E-2</v>
      </c>
      <c r="K18" s="54">
        <f t="shared" si="2"/>
        <v>3.019261664721698E-2</v>
      </c>
      <c r="L18" s="54">
        <f t="shared" si="2"/>
        <v>-9.0190582905417451E-3</v>
      </c>
      <c r="M18" s="54">
        <f t="shared" si="2"/>
        <v>4.5708243046416339E-2</v>
      </c>
      <c r="N18" s="54">
        <f t="shared" si="2"/>
        <v>6.2519985963065752E-2</v>
      </c>
    </row>
    <row r="19" spans="2:14" x14ac:dyDescent="0.25">
      <c r="C19" t="s">
        <v>32</v>
      </c>
      <c r="D19" s="45">
        <f>SUMIFS('Detailed IS'!F:F,'Detailed IS'!$D:$D,$C19)</f>
        <v>42577.59</v>
      </c>
      <c r="E19" s="45">
        <f>SUMIFS('Detailed IS'!G:G,'Detailed IS'!$D:$D,$C19)</f>
        <v>-232.1</v>
      </c>
      <c r="F19" s="45">
        <f>SUMIFS('Detailed IS'!H:H,'Detailed IS'!$D:$D,$C19)</f>
        <v>1416.88</v>
      </c>
      <c r="G19" s="45">
        <f>SUMIFS('Detailed IS'!I:I,'Detailed IS'!$D:$D,$C19)</f>
        <v>670.34</v>
      </c>
      <c r="H19" s="45">
        <f>SUMIFS('Detailed IS'!J:J,'Detailed IS'!$D:$D,$C19)</f>
        <v>22291.02</v>
      </c>
      <c r="J19" s="54">
        <f t="shared" si="3"/>
        <v>3.7608022639226565E-2</v>
      </c>
      <c r="K19" s="54">
        <f t="shared" si="2"/>
        <v>-4.4953930065862446E-4</v>
      </c>
      <c r="L19" s="54">
        <f t="shared" si="2"/>
        <v>1.1327466999282697E-3</v>
      </c>
      <c r="M19" s="54">
        <f t="shared" si="2"/>
        <v>5.1410796653833112E-4</v>
      </c>
      <c r="N19" s="54">
        <f t="shared" si="2"/>
        <v>5.6725449933874232E-2</v>
      </c>
    </row>
    <row r="20" spans="2:14" x14ac:dyDescent="0.25">
      <c r="C20" t="s">
        <v>478</v>
      </c>
      <c r="D20" s="45">
        <f>SUMIFS('Detailed IS'!F:F,'Detailed IS'!$D:$D,$C20)</f>
        <v>6917.18</v>
      </c>
      <c r="E20" s="45">
        <f>SUMIFS('Detailed IS'!G:G,'Detailed IS'!$D:$D,$C20)</f>
        <v>3219.95</v>
      </c>
      <c r="F20" s="45">
        <f>SUMIFS('Detailed IS'!H:H,'Detailed IS'!$D:$D,$C20)</f>
        <v>2284.0700000000002</v>
      </c>
      <c r="G20" s="45">
        <f>SUMIFS('Detailed IS'!I:I,'Detailed IS'!$D:$D,$C20)</f>
        <v>4374.26</v>
      </c>
      <c r="H20" s="45">
        <f>SUMIFS('Detailed IS'!J:J,'Detailed IS'!$D:$D,$C20)</f>
        <v>6552.369999999999</v>
      </c>
      <c r="J20" s="54">
        <f t="shared" si="3"/>
        <v>6.1098212002982143E-3</v>
      </c>
      <c r="K20" s="54">
        <f t="shared" si="2"/>
        <v>6.2365104315197668E-3</v>
      </c>
      <c r="L20" s="54">
        <f t="shared" si="2"/>
        <v>1.8260352005146257E-3</v>
      </c>
      <c r="M20" s="54">
        <f t="shared" si="2"/>
        <v>3.3547780435450075E-3</v>
      </c>
      <c r="N20" s="54">
        <f t="shared" si="2"/>
        <v>1.6674254313316279E-2</v>
      </c>
    </row>
    <row r="21" spans="2:14" x14ac:dyDescent="0.25">
      <c r="C21" t="s">
        <v>488</v>
      </c>
      <c r="D21" s="45">
        <f>SUMIFS('Detailed IS'!F:F,'Detailed IS'!$D:$D,$C21)</f>
        <v>25208.55</v>
      </c>
      <c r="E21" s="45">
        <f>SUMIFS('Detailed IS'!G:G,'Detailed IS'!$D:$D,$C21)</f>
        <v>14822.71</v>
      </c>
      <c r="F21" s="45">
        <f>SUMIFS('Detailed IS'!H:H,'Detailed IS'!$D:$D,$C21)</f>
        <v>16294.2</v>
      </c>
      <c r="G21" s="45">
        <f>SUMIFS('Detailed IS'!I:I,'Detailed IS'!$D:$D,$C21)</f>
        <v>17015.009999999998</v>
      </c>
      <c r="H21" s="45">
        <f>SUMIFS('Detailed IS'!J:J,'Detailed IS'!$D:$D,$C21)</f>
        <v>18536.480000000003</v>
      </c>
      <c r="J21" s="54">
        <f t="shared" si="3"/>
        <v>2.2266260704330021E-2</v>
      </c>
      <c r="K21" s="54">
        <f t="shared" si="2"/>
        <v>2.8709136955043513E-2</v>
      </c>
      <c r="L21" s="54">
        <f t="shared" si="2"/>
        <v>1.3026651006416359E-2</v>
      </c>
      <c r="M21" s="54">
        <f t="shared" si="2"/>
        <v>1.3049425950606213E-2</v>
      </c>
      <c r="N21" s="54">
        <f t="shared" si="2"/>
        <v>4.7171020805250777E-2</v>
      </c>
    </row>
    <row r="22" spans="2:14" x14ac:dyDescent="0.25">
      <c r="C22" t="s">
        <v>501</v>
      </c>
      <c r="D22" s="45">
        <f>SUMIFS('Detailed IS'!F:F,'Detailed IS'!$D:$D,$C22)</f>
        <v>4958.33</v>
      </c>
      <c r="E22" s="45">
        <f>SUMIFS('Detailed IS'!G:G,'Detailed IS'!$D:$D,$C22)</f>
        <v>12292.44</v>
      </c>
      <c r="F22" s="45">
        <f>SUMIFS('Detailed IS'!H:H,'Detailed IS'!$D:$D,$C22)</f>
        <v>42385.13</v>
      </c>
      <c r="G22" s="45">
        <f>SUMIFS('Detailed IS'!I:I,'Detailed IS'!$D:$D,$C22)</f>
        <v>93020.6</v>
      </c>
      <c r="H22" s="45">
        <f>SUMIFS('Detailed IS'!J:J,'Detailed IS'!$D:$D,$C22)</f>
        <v>375</v>
      </c>
      <c r="J22" s="54">
        <f t="shared" si="3"/>
        <v>4.379604080286279E-3</v>
      </c>
      <c r="K22" s="54">
        <f t="shared" si="2"/>
        <v>2.3808422580732881E-2</v>
      </c>
      <c r="L22" s="54">
        <f t="shared" si="2"/>
        <v>3.3885449814755442E-2</v>
      </c>
      <c r="M22" s="54">
        <f t="shared" si="2"/>
        <v>7.1340859134432513E-2</v>
      </c>
      <c r="N22" s="54">
        <f t="shared" si="2"/>
        <v>9.5428758868830758E-4</v>
      </c>
    </row>
    <row r="23" spans="2:14" ht="13" x14ac:dyDescent="0.3">
      <c r="B23" s="50" t="s">
        <v>500</v>
      </c>
      <c r="C23" s="42"/>
      <c r="D23" s="53">
        <f>SUM(D14:D22)</f>
        <v>587932.29</v>
      </c>
      <c r="E23" s="53">
        <f t="shared" ref="E23:H23" si="5">SUM(E14:E22)</f>
        <v>775502.4</v>
      </c>
      <c r="F23" s="53">
        <f t="shared" si="5"/>
        <v>474640.83000000007</v>
      </c>
      <c r="G23" s="53">
        <f t="shared" si="5"/>
        <v>218540.96</v>
      </c>
      <c r="H23" s="53">
        <f t="shared" si="5"/>
        <v>314647.39999999991</v>
      </c>
      <c r="J23" s="54">
        <f t="shared" si="3"/>
        <v>0.51931006129403567</v>
      </c>
      <c r="K23" s="54">
        <f t="shared" si="2"/>
        <v>1.5020198472860185</v>
      </c>
      <c r="L23" s="54">
        <f t="shared" si="2"/>
        <v>0.3794589759427156</v>
      </c>
      <c r="M23" s="54">
        <f t="shared" si="2"/>
        <v>0.16760695848514898</v>
      </c>
      <c r="N23" s="54">
        <f t="shared" si="2"/>
        <v>0.8007042896881208</v>
      </c>
    </row>
    <row r="24" spans="2:14" x14ac:dyDescent="0.25">
      <c r="D24" s="45"/>
      <c r="J24" s="54"/>
      <c r="K24" s="54"/>
      <c r="L24" s="54"/>
      <c r="M24" s="54"/>
      <c r="N24" s="54"/>
    </row>
    <row r="25" spans="2:14" ht="13" x14ac:dyDescent="0.3">
      <c r="B25" s="50" t="s">
        <v>502</v>
      </c>
      <c r="C25" s="42"/>
      <c r="D25" s="53">
        <f>D11-D23</f>
        <v>544208.85999999987</v>
      </c>
      <c r="E25" s="53">
        <f t="shared" ref="E25:H25" si="6">E11-E23</f>
        <v>-259196.04000000004</v>
      </c>
      <c r="F25" s="53">
        <f t="shared" si="6"/>
        <v>776194.85999999987</v>
      </c>
      <c r="G25" s="53">
        <f t="shared" si="6"/>
        <v>1085348.58</v>
      </c>
      <c r="H25" s="53">
        <f t="shared" si="6"/>
        <v>78315.900000000081</v>
      </c>
      <c r="J25" s="54">
        <f t="shared" si="3"/>
        <v>0.48068993870596427</v>
      </c>
      <c r="K25" s="54">
        <f t="shared" ref="K25:K56" si="7">E25/E$11</f>
        <v>-0.50201984728601845</v>
      </c>
      <c r="L25" s="54">
        <f t="shared" ref="L25:L56" si="8">F25/F$11</f>
        <v>0.6205410240572844</v>
      </c>
      <c r="M25" s="54">
        <f t="shared" ref="M25:M56" si="9">G25/G$11</f>
        <v>0.83239304151485105</v>
      </c>
      <c r="N25" s="54">
        <f t="shared" ref="N25:N56" si="10">H25/H$11</f>
        <v>0.1992957103118792</v>
      </c>
    </row>
    <row r="26" spans="2:14" x14ac:dyDescent="0.25">
      <c r="D26" s="45"/>
      <c r="J26" s="54"/>
      <c r="K26" s="54"/>
      <c r="L26" s="54"/>
      <c r="M26" s="54"/>
      <c r="N26" s="54"/>
    </row>
    <row r="27" spans="2:14" ht="13" x14ac:dyDescent="0.3">
      <c r="B27" s="3" t="s">
        <v>503</v>
      </c>
      <c r="D27" s="45"/>
      <c r="J27" s="54"/>
      <c r="K27" s="54"/>
      <c r="L27" s="54"/>
      <c r="M27" s="54"/>
      <c r="N27" s="54"/>
    </row>
    <row r="28" spans="2:14" x14ac:dyDescent="0.25">
      <c r="C28" t="s">
        <v>490</v>
      </c>
      <c r="D28" s="45">
        <f>SUMIFS('Detailed IS'!F:F,'Detailed IS'!$D:$D,$C28)</f>
        <v>114955.84999999999</v>
      </c>
      <c r="E28" s="45">
        <f>SUMIFS('Detailed IS'!G:G,'Detailed IS'!$D:$D,$C28)</f>
        <v>166624.79999999999</v>
      </c>
      <c r="F28" s="45">
        <f>SUMIFS('Detailed IS'!H:H,'Detailed IS'!$D:$D,$C28)</f>
        <v>93718.26</v>
      </c>
      <c r="G28" s="45">
        <f>SUMIFS('Detailed IS'!I:I,'Detailed IS'!$D:$D,$C28)</f>
        <v>105528.13</v>
      </c>
      <c r="H28" s="45">
        <f>SUMIFS('Detailed IS'!J:J,'Detailed IS'!$D:$D,$C28)</f>
        <v>101135.73</v>
      </c>
      <c r="J28" s="54">
        <f t="shared" si="3"/>
        <v>0.10153844332926155</v>
      </c>
      <c r="K28" s="54">
        <f t="shared" si="7"/>
        <v>0.32272467067808341</v>
      </c>
      <c r="L28" s="54">
        <f t="shared" si="8"/>
        <v>7.4924517064267643E-2</v>
      </c>
      <c r="M28" s="54">
        <f t="shared" si="9"/>
        <v>8.093333581002575E-2</v>
      </c>
      <c r="N28" s="54">
        <f t="shared" si="10"/>
        <v>0.25736685843181795</v>
      </c>
    </row>
    <row r="29" spans="2:14" x14ac:dyDescent="0.25">
      <c r="C29" t="s">
        <v>481</v>
      </c>
      <c r="D29" s="45">
        <f>SUMIFS('Detailed IS'!F:F,'Detailed IS'!$D:$D,$C29)</f>
        <v>24421.279999999999</v>
      </c>
      <c r="E29" s="45">
        <f>SUMIFS('Detailed IS'!G:G,'Detailed IS'!$D:$D,$C29)</f>
        <v>37034.35</v>
      </c>
      <c r="F29" s="45">
        <f>SUMIFS('Detailed IS'!H:H,'Detailed IS'!$D:$D,$C29)</f>
        <v>7442.5700000000015</v>
      </c>
      <c r="G29" s="45">
        <f>SUMIFS('Detailed IS'!I:I,'Detailed IS'!$D:$D,$C29)</f>
        <v>28874.280000000006</v>
      </c>
      <c r="H29" s="45">
        <f>SUMIFS('Detailed IS'!J:J,'Detailed IS'!$D:$D,$C29)</f>
        <v>29451.059999999998</v>
      </c>
      <c r="J29" s="54">
        <f t="shared" si="3"/>
        <v>2.1570879214133327E-2</v>
      </c>
      <c r="K29" s="54">
        <f t="shared" si="7"/>
        <v>7.1729408872670097E-2</v>
      </c>
      <c r="L29" s="54">
        <f t="shared" si="8"/>
        <v>5.9500780634105521E-3</v>
      </c>
      <c r="M29" s="54">
        <f t="shared" si="9"/>
        <v>2.2144728609449545E-2</v>
      </c>
      <c r="N29" s="54">
        <f t="shared" si="10"/>
        <v>7.494608275123911E-2</v>
      </c>
    </row>
    <row r="30" spans="2:14" x14ac:dyDescent="0.25">
      <c r="C30" t="s">
        <v>36</v>
      </c>
      <c r="D30" s="45">
        <f>SUMIFS('Detailed IS'!F:F,'Detailed IS'!$D:$D,$C30)</f>
        <v>15923.11</v>
      </c>
      <c r="E30" s="45">
        <f>SUMIFS('Detailed IS'!G:G,'Detailed IS'!$D:$D,$C30)</f>
        <v>15230.8</v>
      </c>
      <c r="F30" s="45">
        <f>SUMIFS('Detailed IS'!H:H,'Detailed IS'!$D:$D,$C30)</f>
        <v>19384.64</v>
      </c>
      <c r="G30" s="45">
        <f>SUMIFS('Detailed IS'!I:I,'Detailed IS'!$D:$D,$C30)</f>
        <v>20307.71</v>
      </c>
      <c r="H30" s="45">
        <f>SUMIFS('Detailed IS'!J:J,'Detailed IS'!$D:$D,$C30)</f>
        <v>20307.71</v>
      </c>
      <c r="J30" s="54">
        <f t="shared" si="3"/>
        <v>1.4064597863967758E-2</v>
      </c>
      <c r="K30" s="54">
        <f t="shared" si="7"/>
        <v>2.9499539769372588E-2</v>
      </c>
      <c r="L30" s="54">
        <f t="shared" si="8"/>
        <v>1.5497351214850609E-2</v>
      </c>
      <c r="M30" s="54">
        <f t="shared" si="9"/>
        <v>1.5574716551526289E-2</v>
      </c>
      <c r="N30" s="54">
        <f t="shared" si="10"/>
        <v>5.1678388287150476E-2</v>
      </c>
    </row>
    <row r="31" spans="2:14" x14ac:dyDescent="0.25">
      <c r="C31" t="s">
        <v>489</v>
      </c>
      <c r="D31" s="45">
        <f>SUMIFS('Detailed IS'!F:F,'Detailed IS'!$D:$D,$C31)</f>
        <v>12242.28</v>
      </c>
      <c r="E31" s="45">
        <f>SUMIFS('Detailed IS'!G:G,'Detailed IS'!$D:$D,$C31)</f>
        <v>38020.75</v>
      </c>
      <c r="F31" s="45">
        <f>SUMIFS('Detailed IS'!H:H,'Detailed IS'!$D:$D,$C31)</f>
        <v>13384.119999999999</v>
      </c>
      <c r="G31" s="45">
        <f>SUMIFS('Detailed IS'!I:I,'Detailed IS'!$D:$D,$C31)</f>
        <v>3535.94</v>
      </c>
      <c r="H31" s="45">
        <f>SUMIFS('Detailed IS'!J:J,'Detailed IS'!$D:$D,$C31)</f>
        <v>597.66999999999996</v>
      </c>
      <c r="J31" s="54">
        <f t="shared" si="3"/>
        <v>1.0813386652362209E-2</v>
      </c>
      <c r="K31" s="54">
        <f t="shared" si="7"/>
        <v>7.3639902479605321E-2</v>
      </c>
      <c r="L31" s="54">
        <f t="shared" si="8"/>
        <v>1.0700142398399264E-2</v>
      </c>
      <c r="M31" s="54">
        <f t="shared" si="9"/>
        <v>2.7118401456000638E-3</v>
      </c>
      <c r="N31" s="54">
        <f t="shared" si="10"/>
        <v>1.5209308350169087E-3</v>
      </c>
    </row>
    <row r="32" spans="2:14" x14ac:dyDescent="0.25">
      <c r="C32" t="s">
        <v>491</v>
      </c>
      <c r="D32" s="45">
        <f>SUMIFS('Detailed IS'!F:F,'Detailed IS'!$D:$D,$C32)</f>
        <v>24629.7</v>
      </c>
      <c r="E32" s="45">
        <f>SUMIFS('Detailed IS'!G:G,'Detailed IS'!$D:$D,$C32)</f>
        <v>35472.39</v>
      </c>
      <c r="F32" s="45">
        <f>SUMIFS('Detailed IS'!H:H,'Detailed IS'!$D:$D,$C32)</f>
        <v>42578.54</v>
      </c>
      <c r="G32" s="45">
        <f>SUMIFS('Detailed IS'!I:I,'Detailed IS'!$D:$D,$C32)</f>
        <v>11188.22</v>
      </c>
      <c r="H32" s="45">
        <f>SUMIFS('Detailed IS'!J:J,'Detailed IS'!$D:$D,$C32)</f>
        <v>10911.51</v>
      </c>
      <c r="J32" s="54">
        <f t="shared" si="3"/>
        <v>2.1754972867119974E-2</v>
      </c>
      <c r="K32" s="54">
        <f t="shared" si="7"/>
        <v>6.8704150768160208E-2</v>
      </c>
      <c r="L32" s="54">
        <f t="shared" si="8"/>
        <v>3.404007444015289E-2</v>
      </c>
      <c r="M32" s="54">
        <f t="shared" si="9"/>
        <v>8.5806501676514713E-3</v>
      </c>
      <c r="N32" s="54">
        <f t="shared" si="10"/>
        <v>2.7767249511595614E-2</v>
      </c>
    </row>
    <row r="33" spans="2:14" x14ac:dyDescent="0.25">
      <c r="C33" t="s">
        <v>496</v>
      </c>
      <c r="D33" s="45">
        <f>SUMIFS('Detailed IS'!F:F,'Detailed IS'!$D:$D,$C33)</f>
        <v>40323</v>
      </c>
      <c r="E33" s="45">
        <f>SUMIFS('Detailed IS'!G:G,'Detailed IS'!$D:$D,$C33)</f>
        <v>45000</v>
      </c>
      <c r="F33" s="45">
        <f>SUMIFS('Detailed IS'!H:H,'Detailed IS'!$D:$D,$C33)</f>
        <v>40000</v>
      </c>
      <c r="G33" s="45">
        <f>SUMIFS('Detailed IS'!I:I,'Detailed IS'!$D:$D,$C33)</f>
        <v>40708.769999999997</v>
      </c>
      <c r="H33" s="45">
        <f>SUMIFS('Detailed IS'!J:J,'Detailed IS'!$D:$D,$C33)</f>
        <v>1192.02</v>
      </c>
      <c r="J33" s="54">
        <f t="shared" si="3"/>
        <v>3.5616583674217654E-2</v>
      </c>
      <c r="K33" s="54">
        <f t="shared" si="7"/>
        <v>8.7157555060913841E-2</v>
      </c>
      <c r="L33" s="54">
        <f t="shared" si="8"/>
        <v>3.1978620629221091E-2</v>
      </c>
      <c r="M33" s="54">
        <f t="shared" si="9"/>
        <v>3.1221026590948796E-2</v>
      </c>
      <c r="N33" s="54">
        <f t="shared" si="10"/>
        <v>3.0334130439152972E-3</v>
      </c>
    </row>
    <row r="34" spans="2:14" x14ac:dyDescent="0.25">
      <c r="C34" t="s">
        <v>485</v>
      </c>
      <c r="D34" s="45">
        <f>SUMIFS('Detailed IS'!F:F,'Detailed IS'!$D:$D,$C34)</f>
        <v>7710.08</v>
      </c>
      <c r="E34" s="45">
        <f>SUMIFS('Detailed IS'!G:G,'Detailed IS'!$D:$D,$C34)</f>
        <v>9456.74</v>
      </c>
      <c r="F34" s="45">
        <f>SUMIFS('Detailed IS'!H:H,'Detailed IS'!$D:$D,$C34)</f>
        <v>18443.850000000002</v>
      </c>
      <c r="G34" s="45">
        <f>SUMIFS('Detailed IS'!I:I,'Detailed IS'!$D:$D,$C34)</f>
        <v>34152.839999999997</v>
      </c>
      <c r="H34" s="45">
        <f>SUMIFS('Detailed IS'!J:J,'Detailed IS'!$D:$D,$C34)</f>
        <v>2366.91</v>
      </c>
      <c r="J34" s="54">
        <f t="shared" si="3"/>
        <v>6.8101755686559053E-3</v>
      </c>
      <c r="K34" s="54">
        <f t="shared" si="7"/>
        <v>1.8316140827705472E-2</v>
      </c>
      <c r="L34" s="54">
        <f t="shared" si="8"/>
        <v>1.474522205230649E-2</v>
      </c>
      <c r="M34" s="54">
        <f t="shared" si="9"/>
        <v>2.6193046996910486E-2</v>
      </c>
      <c r="N34" s="54">
        <f t="shared" si="10"/>
        <v>6.023234230779312E-3</v>
      </c>
    </row>
    <row r="35" spans="2:14" x14ac:dyDescent="0.25">
      <c r="C35" t="s">
        <v>486</v>
      </c>
      <c r="D35" s="45">
        <f>SUMIFS('Detailed IS'!F:F,'Detailed IS'!$D:$D,$C35)</f>
        <v>3025</v>
      </c>
      <c r="E35" s="45">
        <f>SUMIFS('Detailed IS'!G:G,'Detailed IS'!$D:$D,$C35)</f>
        <v>300</v>
      </c>
      <c r="F35" s="45">
        <f>SUMIFS('Detailed IS'!H:H,'Detailed IS'!$D:$D,$C35)</f>
        <v>1625</v>
      </c>
      <c r="G35" s="45">
        <f>SUMIFS('Detailed IS'!I:I,'Detailed IS'!$D:$D,$C35)</f>
        <v>1675</v>
      </c>
      <c r="H35" s="45">
        <f>SUMIFS('Detailed IS'!J:J,'Detailed IS'!$D:$D,$C35)</f>
        <v>300</v>
      </c>
      <c r="J35" s="54">
        <f t="shared" si="3"/>
        <v>2.6719283191852889E-3</v>
      </c>
      <c r="K35" s="54">
        <f t="shared" si="7"/>
        <v>5.8105036707275896E-4</v>
      </c>
      <c r="L35" s="54">
        <f t="shared" si="8"/>
        <v>1.2991314630621069E-3</v>
      </c>
      <c r="M35" s="54">
        <f t="shared" si="9"/>
        <v>1.2846180206338644E-3</v>
      </c>
      <c r="N35" s="54">
        <f t="shared" si="10"/>
        <v>7.6343007095064602E-4</v>
      </c>
    </row>
    <row r="36" spans="2:14" x14ac:dyDescent="0.25">
      <c r="C36" t="s">
        <v>487</v>
      </c>
      <c r="D36" s="45">
        <f>SUMIFS('Detailed IS'!F:F,'Detailed IS'!$D:$D,$C36)</f>
        <v>1610.05</v>
      </c>
      <c r="E36" s="45">
        <f>SUMIFS('Detailed IS'!G:G,'Detailed IS'!$D:$D,$C36)</f>
        <v>534.41</v>
      </c>
      <c r="F36" s="45">
        <f>SUMIFS('Detailed IS'!H:H,'Detailed IS'!$D:$D,$C36)</f>
        <v>2384.2900000000004</v>
      </c>
      <c r="G36" s="45">
        <f>SUMIFS('Detailed IS'!I:I,'Detailed IS'!$D:$D,$C36)</f>
        <v>2117.34</v>
      </c>
      <c r="H36" s="45">
        <f>SUMIFS('Detailed IS'!J:J,'Detailed IS'!$D:$D,$C36)</f>
        <v>1501.51</v>
      </c>
      <c r="J36" s="54">
        <f t="shared" si="3"/>
        <v>1.4221283273733139E-3</v>
      </c>
      <c r="K36" s="54">
        <f t="shared" si="7"/>
        <v>1.0350637555578436E-3</v>
      </c>
      <c r="L36" s="54">
        <f t="shared" si="8"/>
        <v>1.9061576345011395E-3</v>
      </c>
      <c r="M36" s="54">
        <f t="shared" si="9"/>
        <v>1.6238645491396457E-3</v>
      </c>
      <c r="N36" s="54">
        <f t="shared" si="10"/>
        <v>3.8209929527770153E-3</v>
      </c>
    </row>
    <row r="37" spans="2:14" x14ac:dyDescent="0.25">
      <c r="C37" t="s">
        <v>480</v>
      </c>
      <c r="D37" s="45">
        <f>SUMIFS('Detailed IS'!F:F,'Detailed IS'!$D:$D,$C37)</f>
        <v>8051.32</v>
      </c>
      <c r="E37" s="45">
        <f>SUMIFS('Detailed IS'!G:G,'Detailed IS'!$D:$D,$C37)</f>
        <v>5129.33</v>
      </c>
      <c r="F37" s="45">
        <f>SUMIFS('Detailed IS'!H:H,'Detailed IS'!$D:$D,$C37)</f>
        <v>5276.2400000000007</v>
      </c>
      <c r="G37" s="45">
        <f>SUMIFS('Detailed IS'!I:I,'Detailed IS'!$D:$D,$C37)</f>
        <v>-960.21000000000026</v>
      </c>
      <c r="H37" s="45">
        <f>SUMIFS('Detailed IS'!J:J,'Detailed IS'!$D:$D,$C37)</f>
        <v>0</v>
      </c>
      <c r="J37" s="54">
        <f t="shared" si="3"/>
        <v>7.1115867487017851E-3</v>
      </c>
      <c r="K37" s="54">
        <f t="shared" si="7"/>
        <v>9.9346635977910474E-3</v>
      </c>
      <c r="L37" s="54">
        <f t="shared" si="8"/>
        <v>4.2181719327180379E-3</v>
      </c>
      <c r="M37" s="54">
        <f t="shared" si="9"/>
        <v>-7.3641974304050346E-4</v>
      </c>
      <c r="N37" s="54">
        <f t="shared" si="10"/>
        <v>0</v>
      </c>
    </row>
    <row r="38" spans="2:14" x14ac:dyDescent="0.25">
      <c r="C38" t="s">
        <v>483</v>
      </c>
      <c r="D38" s="45">
        <f>SUMIFS('Detailed IS'!F:F,'Detailed IS'!$D:$D,$C38)</f>
        <v>250000</v>
      </c>
      <c r="E38" s="45">
        <f>SUMIFS('Detailed IS'!G:G,'Detailed IS'!$D:$D,$C38)</f>
        <v>150000</v>
      </c>
      <c r="F38" s="45">
        <f>SUMIFS('Detailed IS'!H:H,'Detailed IS'!$D:$D,$C38)</f>
        <v>175000</v>
      </c>
      <c r="G38" s="45">
        <f>SUMIFS('Detailed IS'!I:I,'Detailed IS'!$D:$D,$C38)</f>
        <v>50000</v>
      </c>
      <c r="H38" s="45">
        <f>SUMIFS('Detailed IS'!J:J,'Detailed IS'!$D:$D,$C38)</f>
        <v>0</v>
      </c>
      <c r="J38" s="54">
        <f t="shared" si="3"/>
        <v>0.22082052224671811</v>
      </c>
      <c r="K38" s="54">
        <f t="shared" si="7"/>
        <v>0.29052518353637946</v>
      </c>
      <c r="L38" s="54">
        <f t="shared" si="8"/>
        <v>0.13990646525284228</v>
      </c>
      <c r="M38" s="54">
        <f t="shared" si="9"/>
        <v>3.8346806586085504E-2</v>
      </c>
      <c r="N38" s="54">
        <f t="shared" si="10"/>
        <v>0</v>
      </c>
    </row>
    <row r="39" spans="2:14" x14ac:dyDescent="0.25">
      <c r="C39" t="s">
        <v>44</v>
      </c>
      <c r="D39" s="45">
        <f>SUMIFS('Detailed IS'!F:F,'Detailed IS'!$D:$D,$C39)</f>
        <v>875</v>
      </c>
      <c r="E39" s="45">
        <f>SUMIFS('Detailed IS'!G:G,'Detailed IS'!$D:$D,$C39)</f>
        <v>2169.25</v>
      </c>
      <c r="F39" s="45">
        <f>SUMIFS('Detailed IS'!H:H,'Detailed IS'!$D:$D,$C39)</f>
        <v>1131.3</v>
      </c>
      <c r="G39" s="45">
        <f>SUMIFS('Detailed IS'!I:I,'Detailed IS'!$D:$D,$C39)</f>
        <v>16415.400000000001</v>
      </c>
      <c r="H39" s="45">
        <f>SUMIFS('Detailed IS'!J:J,'Detailed IS'!$D:$D,$C39)</f>
        <v>0</v>
      </c>
      <c r="J39" s="54">
        <f t="shared" si="3"/>
        <v>7.7287182786351337E-4</v>
      </c>
      <c r="K39" s="54">
        <f t="shared" si="7"/>
        <v>4.2014783625752743E-3</v>
      </c>
      <c r="L39" s="54">
        <f t="shared" si="8"/>
        <v>9.0443533794594552E-4</v>
      </c>
      <c r="M39" s="54">
        <f t="shared" si="9"/>
        <v>1.258956337666456E-2</v>
      </c>
      <c r="N39" s="54">
        <f t="shared" si="10"/>
        <v>0</v>
      </c>
    </row>
    <row r="40" spans="2:14" ht="13" x14ac:dyDescent="0.3">
      <c r="B40" s="50" t="s">
        <v>504</v>
      </c>
      <c r="C40" s="42"/>
      <c r="D40" s="53">
        <f>SUM(D28:D39)</f>
        <v>503766.67</v>
      </c>
      <c r="E40" s="53">
        <f t="shared" ref="E40:H40" si="11">SUM(E28:E39)</f>
        <v>504972.81999999995</v>
      </c>
      <c r="F40" s="53">
        <f t="shared" si="11"/>
        <v>420368.81</v>
      </c>
      <c r="G40" s="53">
        <f t="shared" si="11"/>
        <v>313543.42000000004</v>
      </c>
      <c r="H40" s="53">
        <f t="shared" si="11"/>
        <v>167764.12000000002</v>
      </c>
      <c r="J40" s="54">
        <f t="shared" si="3"/>
        <v>0.44496807663956039</v>
      </c>
      <c r="K40" s="54">
        <f t="shared" si="7"/>
        <v>0.97804880807588723</v>
      </c>
      <c r="L40" s="54">
        <f t="shared" si="8"/>
        <v>0.33607036748367808</v>
      </c>
      <c r="M40" s="54">
        <f t="shared" si="9"/>
        <v>0.24046777766159549</v>
      </c>
      <c r="N40" s="54">
        <f t="shared" si="10"/>
        <v>0.42692058011524237</v>
      </c>
    </row>
    <row r="41" spans="2:14" x14ac:dyDescent="0.25">
      <c r="D41" s="45"/>
      <c r="J41" s="54"/>
      <c r="K41" s="54"/>
      <c r="L41" s="54"/>
      <c r="M41" s="54"/>
      <c r="N41" s="54"/>
    </row>
    <row r="42" spans="2:14" ht="13" x14ac:dyDescent="0.3">
      <c r="B42" s="50" t="s">
        <v>505</v>
      </c>
      <c r="C42" s="42"/>
      <c r="D42" s="53">
        <f>D25-D40</f>
        <v>40442.189999999886</v>
      </c>
      <c r="E42" s="53">
        <f t="shared" ref="E42:H42" si="12">E25-E40</f>
        <v>-764168.86</v>
      </c>
      <c r="F42" s="53">
        <f t="shared" si="12"/>
        <v>355826.04999999987</v>
      </c>
      <c r="G42" s="53">
        <f t="shared" si="12"/>
        <v>771805.16</v>
      </c>
      <c r="H42" s="53">
        <f t="shared" si="12"/>
        <v>-89448.219999999943</v>
      </c>
      <c r="J42" s="54">
        <f t="shared" si="3"/>
        <v>3.5721862066403903E-2</v>
      </c>
      <c r="K42" s="54">
        <f t="shared" si="7"/>
        <v>-1.4800686553619058</v>
      </c>
      <c r="L42" s="54">
        <f t="shared" si="8"/>
        <v>0.28447065657360632</v>
      </c>
      <c r="M42" s="54">
        <f t="shared" si="9"/>
        <v>0.5919252638532555</v>
      </c>
      <c r="N42" s="54">
        <f t="shared" si="10"/>
        <v>-0.22762486980336319</v>
      </c>
    </row>
    <row r="43" spans="2:14" x14ac:dyDescent="0.25">
      <c r="D43" s="45"/>
      <c r="J43" s="54">
        <f t="shared" si="3"/>
        <v>0</v>
      </c>
      <c r="K43" s="54">
        <f t="shared" si="7"/>
        <v>0</v>
      </c>
      <c r="L43" s="54">
        <f t="shared" si="8"/>
        <v>0</v>
      </c>
      <c r="M43" s="54">
        <f t="shared" si="9"/>
        <v>0</v>
      </c>
      <c r="N43" s="54">
        <f t="shared" si="10"/>
        <v>0</v>
      </c>
    </row>
    <row r="44" spans="2:14" ht="13" x14ac:dyDescent="0.3">
      <c r="B44" s="3" t="s">
        <v>506</v>
      </c>
      <c r="D44" s="45"/>
      <c r="J44" s="54">
        <f t="shared" si="3"/>
        <v>0</v>
      </c>
      <c r="K44" s="54">
        <f t="shared" si="7"/>
        <v>0</v>
      </c>
      <c r="L44" s="54">
        <f t="shared" si="8"/>
        <v>0</v>
      </c>
      <c r="M44" s="54">
        <f t="shared" si="9"/>
        <v>0</v>
      </c>
      <c r="N44" s="54">
        <f t="shared" si="10"/>
        <v>0</v>
      </c>
    </row>
    <row r="45" spans="2:14" x14ac:dyDescent="0.25">
      <c r="C45" t="s">
        <v>492</v>
      </c>
      <c r="D45" s="45">
        <f>SUMIFS('Detailed IS'!F:F,'Detailed IS'!$D:$D,$C45)</f>
        <v>0.96</v>
      </c>
      <c r="E45" s="45">
        <f>SUMIFS('Detailed IS'!G:G,'Detailed IS'!$D:$D,$C45)</f>
        <v>0</v>
      </c>
      <c r="F45" s="45">
        <f>SUMIFS('Detailed IS'!H:H,'Detailed IS'!$D:$D,$C45)</f>
        <v>0</v>
      </c>
      <c r="G45" s="45">
        <f>SUMIFS('Detailed IS'!I:I,'Detailed IS'!$D:$D,$C45)</f>
        <v>0.72</v>
      </c>
      <c r="H45" s="45">
        <f>SUMIFS('Detailed IS'!J:J,'Detailed IS'!$D:$D,$C45)</f>
        <v>0.02</v>
      </c>
      <c r="J45" s="54">
        <f t="shared" si="3"/>
        <v>8.479508054273975E-7</v>
      </c>
      <c r="K45" s="54">
        <f t="shared" si="7"/>
        <v>0</v>
      </c>
      <c r="L45" s="54">
        <f t="shared" si="8"/>
        <v>0</v>
      </c>
      <c r="M45" s="54">
        <f t="shared" si="9"/>
        <v>5.5219401483963123E-7</v>
      </c>
      <c r="N45" s="54">
        <f t="shared" si="10"/>
        <v>5.0895338063376403E-8</v>
      </c>
    </row>
    <row r="46" spans="2:14" x14ac:dyDescent="0.25">
      <c r="C46" t="s">
        <v>43</v>
      </c>
      <c r="D46" s="45">
        <f>SUMIFS('Detailed IS'!F:F,'Detailed IS'!$D:$D,$C46)</f>
        <v>0</v>
      </c>
      <c r="E46" s="45">
        <f>SUMIFS('Detailed IS'!G:G,'Detailed IS'!$D:$D,$C46)</f>
        <v>-135.63999999999999</v>
      </c>
      <c r="F46" s="45">
        <f>SUMIFS('Detailed IS'!H:H,'Detailed IS'!$D:$D,$C46)</f>
        <v>-3878.91</v>
      </c>
      <c r="G46" s="45">
        <f>SUMIFS('Detailed IS'!I:I,'Detailed IS'!$D:$D,$C46)</f>
        <v>-240.56</v>
      </c>
      <c r="H46" s="45">
        <f>SUMIFS('Detailed IS'!J:J,'Detailed IS'!$D:$D,$C46)</f>
        <v>-724.46</v>
      </c>
      <c r="J46" s="54">
        <f t="shared" si="3"/>
        <v>0</v>
      </c>
      <c r="K46" s="54">
        <f t="shared" si="7"/>
        <v>-2.6271223929916334E-4</v>
      </c>
      <c r="L46" s="54">
        <f t="shared" si="8"/>
        <v>-3.1010547836222997E-3</v>
      </c>
      <c r="M46" s="54">
        <f t="shared" si="9"/>
        <v>-1.8449415584697459E-4</v>
      </c>
      <c r="N46" s="54">
        <f t="shared" si="10"/>
        <v>-1.8435818306696836E-3</v>
      </c>
    </row>
    <row r="47" spans="2:14" x14ac:dyDescent="0.25">
      <c r="C47" t="s">
        <v>493</v>
      </c>
      <c r="D47" s="45">
        <f>SUMIFS('Detailed IS'!F:F,'Detailed IS'!$D:$D,$C47)</f>
        <v>5872.84</v>
      </c>
      <c r="E47" s="45">
        <f>SUMIFS('Detailed IS'!G:G,'Detailed IS'!$D:$D,$C47)</f>
        <v>3448.65</v>
      </c>
      <c r="F47" s="45">
        <f>SUMIFS('Detailed IS'!H:H,'Detailed IS'!$D:$D,$C47)</f>
        <v>3801.01</v>
      </c>
      <c r="G47" s="45">
        <f>SUMIFS('Detailed IS'!I:I,'Detailed IS'!$D:$D,$C47)</f>
        <v>4698.91</v>
      </c>
      <c r="H47" s="45">
        <f>SUMIFS('Detailed IS'!J:J,'Detailed IS'!$D:$D,$C47)</f>
        <v>7147.64</v>
      </c>
      <c r="J47" s="54">
        <f t="shared" si="3"/>
        <v>5.187374383485664E-3</v>
      </c>
      <c r="K47" s="54">
        <f t="shared" si="7"/>
        <v>6.6794644946849002E-3</v>
      </c>
      <c r="L47" s="54">
        <f t="shared" si="8"/>
        <v>3.0387764199468919E-3</v>
      </c>
      <c r="M47" s="54">
        <f t="shared" si="9"/>
        <v>3.6037638587084605E-3</v>
      </c>
      <c r="N47" s="54">
        <f t="shared" si="10"/>
        <v>1.8189077707765587E-2</v>
      </c>
    </row>
    <row r="48" spans="2:14" x14ac:dyDescent="0.25">
      <c r="C48" t="s">
        <v>494</v>
      </c>
      <c r="D48" s="45">
        <f>SUMIFS('Detailed IS'!F:F,'Detailed IS'!$D:$D,$C48)</f>
        <v>0</v>
      </c>
      <c r="E48" s="45">
        <f>SUMIFS('Detailed IS'!G:G,'Detailed IS'!$D:$D,$C48)</f>
        <v>0</v>
      </c>
      <c r="F48" s="45">
        <f>SUMIFS('Detailed IS'!H:H,'Detailed IS'!$D:$D,$C48)</f>
        <v>0</v>
      </c>
      <c r="G48" s="45">
        <f>SUMIFS('Detailed IS'!I:I,'Detailed IS'!$D:$D,$C48)</f>
        <v>-35311.14</v>
      </c>
      <c r="H48" s="45">
        <f>SUMIFS('Detailed IS'!J:J,'Detailed IS'!$D:$D,$C48)</f>
        <v>0</v>
      </c>
      <c r="J48" s="54">
        <f t="shared" si="3"/>
        <v>0</v>
      </c>
      <c r="K48" s="54">
        <f t="shared" si="7"/>
        <v>0</v>
      </c>
      <c r="L48" s="54">
        <f t="shared" si="8"/>
        <v>0</v>
      </c>
      <c r="M48" s="54">
        <f t="shared" si="9"/>
        <v>-2.7081389118283745E-2</v>
      </c>
      <c r="N48" s="54">
        <f t="shared" si="10"/>
        <v>0</v>
      </c>
    </row>
    <row r="49" spans="2:14" x14ac:dyDescent="0.25">
      <c r="C49" t="s">
        <v>470</v>
      </c>
      <c r="D49" s="45">
        <f>SUMIFS('Detailed IS'!F:F,'Detailed IS'!$D:$D,$C49)</f>
        <v>579.68999999999994</v>
      </c>
      <c r="E49" s="45">
        <f>SUMIFS('Detailed IS'!G:G,'Detailed IS'!$D:$D,$C49)</f>
        <v>9130.4</v>
      </c>
      <c r="F49" s="45">
        <f>SUMIFS('Detailed IS'!H:H,'Detailed IS'!$D:$D,$C49)</f>
        <v>409.11</v>
      </c>
      <c r="G49" s="45">
        <f>SUMIFS('Detailed IS'!I:I,'Detailed IS'!$D:$D,$C49)</f>
        <v>995.38</v>
      </c>
      <c r="H49" s="45">
        <f>SUMIFS('Detailed IS'!J:J,'Detailed IS'!$D:$D,$C49)</f>
        <v>836.74999999999989</v>
      </c>
      <c r="J49" s="54">
        <f t="shared" si="3"/>
        <v>5.120297941648E-4</v>
      </c>
      <c r="K49" s="54">
        <f t="shared" si="7"/>
        <v>1.7684074238403725E-2</v>
      </c>
      <c r="L49" s="54">
        <f t="shared" si="8"/>
        <v>3.2706933714051606E-4</v>
      </c>
      <c r="M49" s="54">
        <f t="shared" si="9"/>
        <v>7.6339288679315583E-4</v>
      </c>
      <c r="N49" s="54">
        <f t="shared" si="10"/>
        <v>2.1293337062265102E-3</v>
      </c>
    </row>
    <row r="50" spans="2:14" ht="13" x14ac:dyDescent="0.3">
      <c r="B50" s="50" t="s">
        <v>507</v>
      </c>
      <c r="C50" s="42"/>
      <c r="D50" s="53">
        <f>SUM(D45:D49)</f>
        <v>6453.49</v>
      </c>
      <c r="E50" s="53">
        <f t="shared" ref="E50:H50" si="13">SUM(E45:E49)</f>
        <v>12443.41</v>
      </c>
      <c r="F50" s="53">
        <f t="shared" si="13"/>
        <v>331.21000000000038</v>
      </c>
      <c r="G50" s="53">
        <f t="shared" si="13"/>
        <v>-29856.69</v>
      </c>
      <c r="H50" s="53">
        <f t="shared" si="13"/>
        <v>7259.9500000000007</v>
      </c>
      <c r="J50" s="54">
        <f t="shared" si="3"/>
        <v>5.7002521284558912E-3</v>
      </c>
      <c r="K50" s="54">
        <f t="shared" si="7"/>
        <v>2.4100826493789463E-2</v>
      </c>
      <c r="L50" s="54">
        <f t="shared" si="8"/>
        <v>2.6479097346510826E-4</v>
      </c>
      <c r="M50" s="54">
        <f t="shared" si="9"/>
        <v>-2.2898174334614264E-2</v>
      </c>
      <c r="N50" s="54">
        <f t="shared" si="10"/>
        <v>1.8474880478660478E-2</v>
      </c>
    </row>
    <row r="51" spans="2:14" x14ac:dyDescent="0.25">
      <c r="D51" s="45"/>
      <c r="J51" s="54"/>
      <c r="K51" s="54"/>
      <c r="L51" s="54"/>
      <c r="M51" s="54"/>
      <c r="N51" s="54"/>
    </row>
    <row r="52" spans="2:14" ht="13" x14ac:dyDescent="0.3">
      <c r="B52" s="50" t="s">
        <v>509</v>
      </c>
      <c r="C52" s="42"/>
      <c r="D52" s="53">
        <f>D42+D50</f>
        <v>46895.679999999884</v>
      </c>
      <c r="E52" s="53">
        <f t="shared" ref="E52:H52" si="14">E42+E50</f>
        <v>-751725.45</v>
      </c>
      <c r="F52" s="53">
        <f t="shared" si="14"/>
        <v>356157.25999999989</v>
      </c>
      <c r="G52" s="53">
        <f t="shared" si="14"/>
        <v>741948.47000000009</v>
      </c>
      <c r="H52" s="53">
        <f t="shared" si="14"/>
        <v>-82188.269999999946</v>
      </c>
      <c r="J52" s="54">
        <f t="shared" si="3"/>
        <v>4.1422114194859791E-2</v>
      </c>
      <c r="K52" s="54">
        <f t="shared" si="7"/>
        <v>-1.4559678288681162</v>
      </c>
      <c r="L52" s="54">
        <f t="shared" si="8"/>
        <v>0.28473544754707142</v>
      </c>
      <c r="M52" s="54">
        <f t="shared" si="9"/>
        <v>0.56902708951864134</v>
      </c>
      <c r="N52" s="54">
        <f t="shared" si="10"/>
        <v>-0.20914998932470272</v>
      </c>
    </row>
    <row r="53" spans="2:14" x14ac:dyDescent="0.25">
      <c r="D53" s="45"/>
      <c r="J53" s="54"/>
      <c r="K53" s="54"/>
      <c r="L53" s="54"/>
      <c r="M53" s="54"/>
      <c r="N53" s="54"/>
    </row>
    <row r="54" spans="2:14" x14ac:dyDescent="0.25">
      <c r="C54" t="s">
        <v>484</v>
      </c>
      <c r="D54" s="45">
        <f>SUMIFS('Detailed IS'!F:F,'Detailed IS'!$D:$D,$C54)</f>
        <v>0</v>
      </c>
      <c r="E54" s="45">
        <f>SUMIFS('Detailed IS'!G:G,'Detailed IS'!$D:$D,$C54)</f>
        <v>166364.31</v>
      </c>
      <c r="F54" s="45">
        <f>SUMIFS('Detailed IS'!H:H,'Detailed IS'!$D:$D,$C54)</f>
        <v>26209.75</v>
      </c>
      <c r="G54" s="45">
        <f>SUMIFS('Detailed IS'!I:I,'Detailed IS'!$D:$D,$C54)</f>
        <v>6209.75</v>
      </c>
      <c r="H54" s="45">
        <f>SUMIFS('Detailed IS'!J:J,'Detailed IS'!$D:$D,$C54)</f>
        <v>0</v>
      </c>
      <c r="J54" s="54">
        <f t="shared" si="3"/>
        <v>0</v>
      </c>
      <c r="K54" s="54">
        <f t="shared" si="7"/>
        <v>0.32222014464435417</v>
      </c>
      <c r="L54" s="54">
        <f t="shared" si="8"/>
        <v>2.0953791300918189E-2</v>
      </c>
      <c r="M54" s="54">
        <f t="shared" si="9"/>
        <v>4.7624816439588895E-3</v>
      </c>
      <c r="N54" s="54">
        <f t="shared" si="10"/>
        <v>0</v>
      </c>
    </row>
    <row r="55" spans="2:14" x14ac:dyDescent="0.25">
      <c r="D55" s="45"/>
      <c r="J55" s="54"/>
      <c r="K55" s="54"/>
      <c r="L55" s="54"/>
      <c r="M55" s="54"/>
      <c r="N55" s="54"/>
    </row>
    <row r="56" spans="2:14" ht="13.5" thickBot="1" x14ac:dyDescent="0.35">
      <c r="B56" s="51" t="s">
        <v>508</v>
      </c>
      <c r="C56" s="52"/>
      <c r="D56" s="55">
        <f>D52-D54</f>
        <v>46895.679999999884</v>
      </c>
      <c r="E56" s="55">
        <f t="shared" ref="E56:H56" si="15">E52-E54</f>
        <v>-918089.76</v>
      </c>
      <c r="F56" s="55">
        <f t="shared" si="15"/>
        <v>329947.50999999989</v>
      </c>
      <c r="G56" s="55">
        <f t="shared" si="15"/>
        <v>735738.72000000009</v>
      </c>
      <c r="H56" s="55">
        <f t="shared" si="15"/>
        <v>-82188.269999999946</v>
      </c>
      <c r="J56" s="54">
        <f t="shared" si="3"/>
        <v>4.1422114194859791E-2</v>
      </c>
      <c r="K56" s="54">
        <f t="shared" si="7"/>
        <v>-1.7781879735124704</v>
      </c>
      <c r="L56" s="54">
        <f t="shared" si="8"/>
        <v>0.26378165624615324</v>
      </c>
      <c r="M56" s="54">
        <f t="shared" si="9"/>
        <v>0.56426460787468247</v>
      </c>
      <c r="N56" s="54">
        <f t="shared" si="10"/>
        <v>-0.20914998932470272</v>
      </c>
    </row>
    <row r="57" spans="2:14" ht="13" thickTop="1" x14ac:dyDescent="0.25"/>
  </sheetData>
  <pageMargins left="0.7" right="0.7" top="0.75" bottom="0.75" header="0.3" footer="0.3"/>
  <pageSetup scale="6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AA9C-D20D-47CA-8A30-94A8F383FA74}">
  <dimension ref="B1:O56"/>
  <sheetViews>
    <sheetView showGridLines="0" view="pageBreakPreview" zoomScale="85" zoomScaleNormal="100" zoomScaleSheetLayoutView="85" workbookViewId="0"/>
  </sheetViews>
  <sheetFormatPr defaultRowHeight="12.5" outlineLevelRow="1" x14ac:dyDescent="0.25"/>
  <cols>
    <col min="1" max="2" width="2.6328125" customWidth="1"/>
    <col min="3" max="3" width="33.26953125" bestFit="1" customWidth="1"/>
    <col min="4" max="8" width="12.6328125" customWidth="1"/>
    <col min="9" max="9" width="2.6328125" customWidth="1"/>
    <col min="15" max="15" width="10.1796875" bestFit="1" customWidth="1"/>
  </cols>
  <sheetData>
    <row r="1" spans="2:9" ht="13" x14ac:dyDescent="0.3">
      <c r="B1" s="36" t="s">
        <v>462</v>
      </c>
    </row>
    <row r="2" spans="2:9" ht="13" x14ac:dyDescent="0.3">
      <c r="B2" s="41" t="s">
        <v>542</v>
      </c>
      <c r="C2" s="42"/>
      <c r="D2" s="42"/>
      <c r="E2" s="42"/>
      <c r="F2" s="42"/>
      <c r="G2" s="42"/>
      <c r="H2" s="42"/>
      <c r="I2" s="42"/>
    </row>
    <row r="4" spans="2:9" ht="13" x14ac:dyDescent="0.3">
      <c r="B4" s="48" t="s">
        <v>3</v>
      </c>
      <c r="C4" s="47"/>
      <c r="D4" s="47"/>
      <c r="E4" s="47"/>
      <c r="F4" s="47"/>
      <c r="G4" s="47"/>
      <c r="H4" s="47"/>
    </row>
    <row r="5" spans="2:9" ht="13" x14ac:dyDescent="0.3">
      <c r="B5" s="48" t="s">
        <v>542</v>
      </c>
      <c r="C5" s="47"/>
      <c r="D5" s="49" t="s">
        <v>498</v>
      </c>
      <c r="E5" s="49" t="s">
        <v>498</v>
      </c>
      <c r="F5" s="49" t="s">
        <v>498</v>
      </c>
      <c r="G5" s="49" t="s">
        <v>498</v>
      </c>
      <c r="H5" s="49" t="s">
        <v>498</v>
      </c>
    </row>
    <row r="6" spans="2:9" ht="16" x14ac:dyDescent="0.6">
      <c r="B6" s="48" t="s">
        <v>545</v>
      </c>
      <c r="C6" s="47"/>
      <c r="D6" s="46">
        <v>44561</v>
      </c>
      <c r="E6" s="46">
        <f>EOMONTH(D6,12)</f>
        <v>44926</v>
      </c>
      <c r="F6" s="46">
        <f t="shared" ref="F6:G6" si="0">EOMONTH(E6,12)</f>
        <v>45291</v>
      </c>
      <c r="G6" s="46">
        <f t="shared" si="0"/>
        <v>45657</v>
      </c>
      <c r="H6" s="46">
        <f>EOMONTH(G6,9)</f>
        <v>45930</v>
      </c>
    </row>
    <row r="7" spans="2:9" ht="13" x14ac:dyDescent="0.3">
      <c r="B7" s="3" t="s">
        <v>543</v>
      </c>
      <c r="D7" s="45"/>
    </row>
    <row r="8" spans="2:9" ht="13" x14ac:dyDescent="0.3">
      <c r="B8" s="60" t="s">
        <v>544</v>
      </c>
      <c r="C8" s="60"/>
      <c r="D8" s="59"/>
      <c r="E8" s="59"/>
      <c r="F8" s="59"/>
      <c r="G8" s="59"/>
      <c r="H8" s="59"/>
    </row>
    <row r="9" spans="2:9" x14ac:dyDescent="0.25">
      <c r="B9" s="61"/>
      <c r="C9" s="61" t="s">
        <v>519</v>
      </c>
      <c r="D9" s="59">
        <f>SUMIFS('Detailed BS'!F:F,'Detailed BS'!$D:$D,$C9)</f>
        <v>1199207.96</v>
      </c>
      <c r="E9" s="59">
        <f>SUMIFS('Detailed BS'!G:G,'Detailed BS'!$D:$D,$C9)</f>
        <v>2398756.46</v>
      </c>
      <c r="F9" s="59">
        <f>SUMIFS('Detailed BS'!H:H,'Detailed BS'!$D:$D,$C9)</f>
        <v>1615267.52</v>
      </c>
      <c r="G9" s="59">
        <f>SUMIFS('Detailed BS'!I:I,'Detailed BS'!$D:$D,$C9)</f>
        <v>1026698.92</v>
      </c>
      <c r="H9" s="59">
        <f>SUMIFS('Detailed BS'!J:J,'Detailed BS'!$D:$D,$C9)</f>
        <v>580318.35</v>
      </c>
    </row>
    <row r="10" spans="2:9" x14ac:dyDescent="0.25">
      <c r="B10" s="61"/>
      <c r="C10" s="61" t="s">
        <v>522</v>
      </c>
      <c r="D10" s="59">
        <f>SUMIFS('Detailed BS'!F:F,'Detailed BS'!$D:$D,$C10)</f>
        <v>1105726.31</v>
      </c>
      <c r="E10" s="59">
        <f>SUMIFS('Detailed BS'!G:G,'Detailed BS'!$D:$D,$C10)</f>
        <v>525775.93999999994</v>
      </c>
      <c r="F10" s="59">
        <f>SUMIFS('Detailed BS'!H:H,'Detailed BS'!$D:$D,$C10)</f>
        <v>1262808.81</v>
      </c>
      <c r="G10" s="59">
        <f>SUMIFS('Detailed BS'!I:I,'Detailed BS'!$D:$D,$C10)</f>
        <v>1147802.6200000001</v>
      </c>
      <c r="H10" s="59">
        <f>SUMIFS('Detailed BS'!J:J,'Detailed BS'!$D:$D,$C10)</f>
        <v>437988.79</v>
      </c>
    </row>
    <row r="11" spans="2:9" x14ac:dyDescent="0.25">
      <c r="B11" s="61"/>
      <c r="C11" s="61" t="s">
        <v>521</v>
      </c>
      <c r="D11" s="59">
        <f>SUMIFS('Detailed BS'!F:F,'Detailed BS'!$D:$D,$C11)</f>
        <v>-15130.57</v>
      </c>
      <c r="E11" s="59">
        <f>SUMIFS('Detailed BS'!G:G,'Detailed BS'!$D:$D,$C11)</f>
        <v>-15130.57</v>
      </c>
      <c r="F11" s="59">
        <f>SUMIFS('Detailed BS'!H:H,'Detailed BS'!$D:$D,$C11)</f>
        <v>-15130.57</v>
      </c>
      <c r="G11" s="59">
        <f>SUMIFS('Detailed BS'!I:I,'Detailed BS'!$D:$D,$C11)</f>
        <v>-15130.57</v>
      </c>
      <c r="H11" s="59">
        <f>SUMIFS('Detailed BS'!J:J,'Detailed BS'!$D:$D,$C11)</f>
        <v>-15130.57</v>
      </c>
    </row>
    <row r="12" spans="2:9" x14ac:dyDescent="0.25">
      <c r="B12" s="61"/>
      <c r="C12" s="61" t="s">
        <v>534</v>
      </c>
      <c r="D12" s="59">
        <f>SUMIFS('Detailed BS'!F:F,'Detailed BS'!$D:$D,$C12)</f>
        <v>-24542.41</v>
      </c>
      <c r="E12" s="59">
        <f>SUMIFS('Detailed BS'!G:G,'Detailed BS'!$D:$D,$C12)</f>
        <v>-18599.3</v>
      </c>
      <c r="F12" s="59">
        <f>SUMIFS('Detailed BS'!H:H,'Detailed BS'!$D:$D,$C12)</f>
        <v>-28159.91</v>
      </c>
      <c r="G12" s="59">
        <f>SUMIFS('Detailed BS'!I:I,'Detailed BS'!$D:$D,$C12)</f>
        <v>-31574.74</v>
      </c>
      <c r="H12" s="59">
        <f>SUMIFS('Detailed BS'!J:J,'Detailed BS'!$D:$D,$C12)</f>
        <v>-19542.759999999998</v>
      </c>
    </row>
    <row r="13" spans="2:9" x14ac:dyDescent="0.25">
      <c r="B13" s="61"/>
      <c r="C13" s="61" t="s">
        <v>520</v>
      </c>
      <c r="D13" s="59">
        <f>SUMIFS('Detailed BS'!F:F,'Detailed BS'!$D:$D,$C13)</f>
        <v>585157.33000000007</v>
      </c>
      <c r="E13" s="59">
        <f>SUMIFS('Detailed BS'!G:G,'Detailed BS'!$D:$D,$C13)</f>
        <v>405784.26</v>
      </c>
      <c r="F13" s="59">
        <f>SUMIFS('Detailed BS'!H:H,'Detailed BS'!$D:$D,$C13)</f>
        <v>420307.73</v>
      </c>
      <c r="G13" s="59">
        <f>SUMIFS('Detailed BS'!I:I,'Detailed BS'!$D:$D,$C13)</f>
        <v>815111.44</v>
      </c>
      <c r="H13" s="59">
        <f>SUMIFS('Detailed BS'!J:J,'Detailed BS'!$D:$D,$C13)</f>
        <v>1723864.36</v>
      </c>
    </row>
    <row r="14" spans="2:9" x14ac:dyDescent="0.25">
      <c r="B14" s="61"/>
      <c r="C14" s="61" t="s">
        <v>535</v>
      </c>
      <c r="D14" s="59">
        <f>SUMIFS('Detailed BS'!F:F,'Detailed BS'!$D:$D,$C14)</f>
        <v>2081585.03</v>
      </c>
      <c r="E14" s="59">
        <f>SUMIFS('Detailed BS'!G:G,'Detailed BS'!$D:$D,$C14)</f>
        <v>1935775.62</v>
      </c>
      <c r="F14" s="59">
        <f>SUMIFS('Detailed BS'!H:H,'Detailed BS'!$D:$D,$C14)</f>
        <v>2102234.79</v>
      </c>
      <c r="G14" s="59">
        <f>SUMIFS('Detailed BS'!I:I,'Detailed BS'!$D:$D,$C14)</f>
        <v>2655767.9900000002</v>
      </c>
      <c r="H14" s="59">
        <f>SUMIFS('Detailed BS'!J:J,'Detailed BS'!$D:$D,$C14)</f>
        <v>2922283.8400000003</v>
      </c>
    </row>
    <row r="15" spans="2:9" x14ac:dyDescent="0.25">
      <c r="B15" s="61"/>
      <c r="C15" s="61" t="s">
        <v>536</v>
      </c>
      <c r="D15" s="59">
        <f>SUMIFS('Detailed BS'!F:F,'Detailed BS'!$D:$D,$C15)</f>
        <v>83628.36</v>
      </c>
      <c r="E15" s="59">
        <f>SUMIFS('Detailed BS'!G:G,'Detailed BS'!$D:$D,$C15)</f>
        <v>51113.57</v>
      </c>
      <c r="F15" s="59">
        <f>SUMIFS('Detailed BS'!H:H,'Detailed BS'!$D:$D,$C15)</f>
        <v>94379.15</v>
      </c>
      <c r="G15" s="59">
        <f>SUMIFS('Detailed BS'!I:I,'Detailed BS'!$D:$D,$C15)</f>
        <v>56427.009999999995</v>
      </c>
      <c r="H15" s="59">
        <f>SUMIFS('Detailed BS'!J:J,'Detailed BS'!$D:$D,$C15)</f>
        <v>36704.78</v>
      </c>
    </row>
    <row r="16" spans="2:9" ht="13" x14ac:dyDescent="0.3">
      <c r="B16" s="60" t="s">
        <v>399</v>
      </c>
      <c r="C16" s="62"/>
      <c r="D16" s="53">
        <f>SUM(D9:D15)</f>
        <v>5015632.0100000007</v>
      </c>
      <c r="E16" s="53">
        <f t="shared" ref="E16:H16" si="1">SUM(E9:E15)</f>
        <v>5283475.9800000004</v>
      </c>
      <c r="F16" s="53">
        <f t="shared" si="1"/>
        <v>5451707.5200000005</v>
      </c>
      <c r="G16" s="53">
        <f t="shared" si="1"/>
        <v>5655102.6699999999</v>
      </c>
      <c r="H16" s="53">
        <f t="shared" si="1"/>
        <v>5666486.79</v>
      </c>
    </row>
    <row r="17" spans="2:15" x14ac:dyDescent="0.25">
      <c r="B17" s="61"/>
      <c r="C17" s="61"/>
      <c r="D17" s="59"/>
      <c r="E17" s="59"/>
      <c r="F17" s="59"/>
      <c r="G17" s="59"/>
      <c r="H17" s="59"/>
    </row>
    <row r="18" spans="2:15" ht="13" x14ac:dyDescent="0.3">
      <c r="B18" s="60" t="s">
        <v>546</v>
      </c>
      <c r="C18" s="61"/>
      <c r="D18" s="59"/>
      <c r="E18" s="59"/>
      <c r="F18" s="59"/>
      <c r="G18" s="59"/>
      <c r="H18" s="59"/>
    </row>
    <row r="19" spans="2:15" x14ac:dyDescent="0.25">
      <c r="B19" s="61"/>
      <c r="C19" s="61" t="s">
        <v>523</v>
      </c>
      <c r="D19" s="59">
        <f>SUMIFS('Detailed BS'!F:F,'Detailed BS'!$D:$D,$C19)</f>
        <v>122000</v>
      </c>
      <c r="E19" s="59">
        <f>SUMIFS('Detailed BS'!G:G,'Detailed BS'!$D:$D,$C19)</f>
        <v>122000</v>
      </c>
      <c r="F19" s="59">
        <f>SUMIFS('Detailed BS'!H:H,'Detailed BS'!$D:$D,$C19)</f>
        <v>122000</v>
      </c>
      <c r="G19" s="59">
        <f>SUMIFS('Detailed BS'!I:I,'Detailed BS'!$D:$D,$C19)</f>
        <v>122000</v>
      </c>
      <c r="H19" s="59">
        <f>SUMIFS('Detailed BS'!J:J,'Detailed BS'!$D:$D,$C19)</f>
        <v>122000</v>
      </c>
    </row>
    <row r="20" spans="2:15" x14ac:dyDescent="0.25">
      <c r="B20" s="61"/>
      <c r="C20" s="61" t="s">
        <v>524</v>
      </c>
      <c r="D20" s="59">
        <f>SUMIFS('Detailed BS'!F:F,'Detailed BS'!$D:$D,$C20)</f>
        <v>1039840.73</v>
      </c>
      <c r="E20" s="59">
        <f>SUMIFS('Detailed BS'!G:G,'Detailed BS'!$D:$D,$C20)</f>
        <v>1039840.73</v>
      </c>
      <c r="F20" s="59">
        <f>SUMIFS('Detailed BS'!H:H,'Detailed BS'!$D:$D,$C20)</f>
        <v>1039840.73</v>
      </c>
      <c r="G20" s="59">
        <f>SUMIFS('Detailed BS'!I:I,'Detailed BS'!$D:$D,$C20)</f>
        <v>1039840.73</v>
      </c>
      <c r="H20" s="59">
        <f>SUMIFS('Detailed BS'!J:J,'Detailed BS'!$D:$D,$C20)</f>
        <v>1039840.73</v>
      </c>
    </row>
    <row r="21" spans="2:15" x14ac:dyDescent="0.25">
      <c r="B21" s="61"/>
      <c r="C21" s="61" t="s">
        <v>525</v>
      </c>
      <c r="D21" s="59">
        <f>SUMIFS('Detailed BS'!F:F,'Detailed BS'!$D:$D,$C21)</f>
        <v>230619.89</v>
      </c>
      <c r="E21" s="59">
        <f>SUMIFS('Detailed BS'!G:G,'Detailed BS'!$D:$D,$C21)</f>
        <v>230619.89</v>
      </c>
      <c r="F21" s="59">
        <f>SUMIFS('Detailed BS'!H:H,'Detailed BS'!$D:$D,$C21)</f>
        <v>230619.89</v>
      </c>
      <c r="G21" s="59">
        <f>SUMIFS('Detailed BS'!I:I,'Detailed BS'!$D:$D,$C21)</f>
        <v>270383.64</v>
      </c>
      <c r="H21" s="59">
        <f>SUMIFS('Detailed BS'!J:J,'Detailed BS'!$D:$D,$C21)</f>
        <v>270383.64</v>
      </c>
    </row>
    <row r="22" spans="2:15" x14ac:dyDescent="0.25">
      <c r="B22" s="61"/>
      <c r="C22" s="61" t="s">
        <v>526</v>
      </c>
      <c r="D22" s="59">
        <f>SUMIFS('Detailed BS'!F:F,'Detailed BS'!$D:$D,$C22)</f>
        <v>1849633.76</v>
      </c>
      <c r="E22" s="59">
        <f>SUMIFS('Detailed BS'!G:G,'Detailed BS'!$D:$D,$C22)</f>
        <v>2015708.58</v>
      </c>
      <c r="F22" s="59">
        <f>SUMIFS('Detailed BS'!H:H,'Detailed BS'!$D:$D,$C22)</f>
        <v>2156400.06</v>
      </c>
      <c r="G22" s="59">
        <f>SUMIFS('Detailed BS'!I:I,'Detailed BS'!$D:$D,$C22)</f>
        <v>2162584.66</v>
      </c>
      <c r="H22" s="59">
        <f>SUMIFS('Detailed BS'!J:J,'Detailed BS'!$D:$D,$C22)</f>
        <v>2162584.66</v>
      </c>
    </row>
    <row r="23" spans="2:15" x14ac:dyDescent="0.25">
      <c r="B23" s="61"/>
      <c r="C23" s="61" t="s">
        <v>527</v>
      </c>
      <c r="D23" s="59">
        <f>SUMIFS('Detailed BS'!F:F,'Detailed BS'!$D:$D,$C23)</f>
        <v>0</v>
      </c>
      <c r="E23" s="59">
        <f>SUMIFS('Detailed BS'!G:G,'Detailed BS'!$D:$D,$C23)</f>
        <v>0</v>
      </c>
      <c r="F23" s="59">
        <f>SUMIFS('Detailed BS'!H:H,'Detailed BS'!$D:$D,$C23)</f>
        <v>0</v>
      </c>
      <c r="G23" s="59">
        <f>SUMIFS('Detailed BS'!I:I,'Detailed BS'!$D:$D,$C23)</f>
        <v>61187.02</v>
      </c>
      <c r="H23" s="59">
        <f>SUMIFS('Detailed BS'!J:J,'Detailed BS'!$D:$D,$C23)</f>
        <v>61187.02</v>
      </c>
    </row>
    <row r="24" spans="2:15" x14ac:dyDescent="0.25">
      <c r="B24" s="61"/>
      <c r="C24" s="61" t="s">
        <v>528</v>
      </c>
      <c r="D24" s="59">
        <f>SUMIFS('Detailed BS'!F:F,'Detailed BS'!$D:$D,$C24)</f>
        <v>96925.38</v>
      </c>
      <c r="E24" s="59">
        <f>SUMIFS('Detailed BS'!G:G,'Detailed BS'!$D:$D,$C24)</f>
        <v>96925.38</v>
      </c>
      <c r="F24" s="59">
        <f>SUMIFS('Detailed BS'!H:H,'Detailed BS'!$D:$D,$C24)</f>
        <v>96925.38</v>
      </c>
      <c r="G24" s="59">
        <f>SUMIFS('Detailed BS'!I:I,'Detailed BS'!$D:$D,$C24)</f>
        <v>96925.38</v>
      </c>
      <c r="H24" s="59">
        <f>SUMIFS('Detailed BS'!J:J,'Detailed BS'!$D:$D,$C24)</f>
        <v>96925.38</v>
      </c>
    </row>
    <row r="25" spans="2:15" x14ac:dyDescent="0.25">
      <c r="B25" s="61"/>
      <c r="C25" s="61" t="s">
        <v>529</v>
      </c>
      <c r="D25" s="59">
        <f>SUMIFS('Detailed BS'!F:F,'Detailed BS'!$D:$D,$C25)</f>
        <v>110411.14</v>
      </c>
      <c r="E25" s="59">
        <f>SUMIFS('Detailed BS'!G:G,'Detailed BS'!$D:$D,$C25)</f>
        <v>110411.14</v>
      </c>
      <c r="F25" s="59">
        <f>SUMIFS('Detailed BS'!H:H,'Detailed BS'!$D:$D,$C25)</f>
        <v>110411.14</v>
      </c>
      <c r="G25" s="59">
        <f>SUMIFS('Detailed BS'!I:I,'Detailed BS'!$D:$D,$C25)</f>
        <v>0</v>
      </c>
      <c r="H25" s="59">
        <f>SUMIFS('Detailed BS'!J:J,'Detailed BS'!$D:$D,$C25)</f>
        <v>0</v>
      </c>
    </row>
    <row r="26" spans="2:15" x14ac:dyDescent="0.25">
      <c r="B26" s="61"/>
      <c r="C26" s="61" t="s">
        <v>530</v>
      </c>
      <c r="D26" s="59">
        <f>SUMIFS('Detailed BS'!F:F,'Detailed BS'!$D:$D,$C26)</f>
        <v>-3143237.14</v>
      </c>
      <c r="E26" s="59">
        <f>SUMIFS('Detailed BS'!G:G,'Detailed BS'!$D:$D,$C26)</f>
        <v>-3221865.46</v>
      </c>
      <c r="F26" s="59">
        <f>SUMIFS('Detailed BS'!H:H,'Detailed BS'!$D:$D,$C26)</f>
        <v>-3262811</v>
      </c>
      <c r="G26" s="59">
        <f>SUMIFS('Detailed BS'!I:I,'Detailed BS'!$D:$D,$C26)</f>
        <v>-3322429</v>
      </c>
      <c r="H26" s="59">
        <f>SUMIFS('Detailed BS'!J:J,'Detailed BS'!$D:$D,$C26)</f>
        <v>-3344929</v>
      </c>
      <c r="J26" s="64"/>
      <c r="K26" s="64"/>
      <c r="L26" s="64"/>
      <c r="M26" s="64"/>
      <c r="N26" s="64"/>
      <c r="O26" s="64"/>
    </row>
    <row r="27" spans="2:15" x14ac:dyDescent="0.25">
      <c r="B27" s="61"/>
      <c r="C27" s="61" t="s">
        <v>531</v>
      </c>
      <c r="D27" s="59">
        <f>SUMIFS('Detailed BS'!F:F,'Detailed BS'!$D:$D,$C27)</f>
        <v>-96925.38</v>
      </c>
      <c r="E27" s="59">
        <f>SUMIFS('Detailed BS'!G:G,'Detailed BS'!$D:$D,$C27)</f>
        <v>-96925.38</v>
      </c>
      <c r="F27" s="59">
        <f>SUMIFS('Detailed BS'!H:H,'Detailed BS'!$D:$D,$C27)</f>
        <v>-96925.38</v>
      </c>
      <c r="G27" s="59">
        <f>SUMIFS('Detailed BS'!I:I,'Detailed BS'!$D:$D,$C27)</f>
        <v>-96925.38</v>
      </c>
      <c r="H27" s="59">
        <f>SUMIFS('Detailed BS'!J:J,'Detailed BS'!$D:$D,$C27)</f>
        <v>-96925.38</v>
      </c>
    </row>
    <row r="28" spans="2:15" ht="13" x14ac:dyDescent="0.3">
      <c r="B28" s="60" t="s">
        <v>547</v>
      </c>
      <c r="C28" s="62"/>
      <c r="D28" s="53">
        <f>SUM(D19:D27)</f>
        <v>209268.37999999977</v>
      </c>
      <c r="E28" s="53">
        <f t="shared" ref="E28:H28" si="2">SUM(E19:E27)</f>
        <v>296714.88000000024</v>
      </c>
      <c r="F28" s="53">
        <f t="shared" si="2"/>
        <v>396460.82000000018</v>
      </c>
      <c r="G28" s="53">
        <f t="shared" si="2"/>
        <v>333567.05000000016</v>
      </c>
      <c r="H28" s="53">
        <f t="shared" si="2"/>
        <v>311067.05000000016</v>
      </c>
    </row>
    <row r="29" spans="2:15" x14ac:dyDescent="0.25">
      <c r="D29" s="59"/>
      <c r="E29" s="59"/>
      <c r="F29" s="59"/>
      <c r="G29" s="59"/>
      <c r="H29" s="59"/>
    </row>
    <row r="30" spans="2:15" ht="13.5" thickBot="1" x14ac:dyDescent="0.35">
      <c r="B30" s="51" t="s">
        <v>548</v>
      </c>
      <c r="C30" s="52"/>
      <c r="D30" s="55">
        <f>D28+D16</f>
        <v>5224900.3900000006</v>
      </c>
      <c r="E30" s="55">
        <f t="shared" ref="E30:H30" si="3">E28+E16</f>
        <v>5580190.8600000003</v>
      </c>
      <c r="F30" s="55">
        <f t="shared" si="3"/>
        <v>5848168.3400000008</v>
      </c>
      <c r="G30" s="55">
        <f t="shared" si="3"/>
        <v>5988669.7199999997</v>
      </c>
      <c r="H30" s="55">
        <f t="shared" si="3"/>
        <v>5977553.8399999999</v>
      </c>
    </row>
    <row r="31" spans="2:15" ht="13" thickTop="1" x14ac:dyDescent="0.25">
      <c r="D31" s="59"/>
      <c r="E31" s="59"/>
      <c r="F31" s="59"/>
      <c r="G31" s="59"/>
      <c r="H31" s="59"/>
    </row>
    <row r="32" spans="2:15" ht="13" x14ac:dyDescent="0.3">
      <c r="B32" s="3" t="s">
        <v>549</v>
      </c>
      <c r="D32" s="59"/>
      <c r="E32" s="59"/>
      <c r="F32" s="59"/>
      <c r="G32" s="59"/>
      <c r="H32" s="59"/>
    </row>
    <row r="33" spans="2:8" ht="13" x14ac:dyDescent="0.3">
      <c r="B33" s="60" t="s">
        <v>550</v>
      </c>
      <c r="C33" s="61"/>
      <c r="D33" s="59"/>
      <c r="E33" s="59"/>
      <c r="F33" s="59"/>
      <c r="G33" s="59"/>
      <c r="H33" s="59"/>
    </row>
    <row r="34" spans="2:8" x14ac:dyDescent="0.25">
      <c r="B34" s="61"/>
      <c r="C34" s="61" t="s">
        <v>532</v>
      </c>
      <c r="D34" s="59">
        <f>SUMIFS('Detailed BS'!F:F,'Detailed BS'!$D:$D,$C34)</f>
        <v>34422.939999999995</v>
      </c>
      <c r="E34" s="59">
        <f>SUMIFS('Detailed BS'!G:G,'Detailed BS'!$D:$D,$C34)</f>
        <v>198880.72</v>
      </c>
      <c r="F34" s="59">
        <f>SUMIFS('Detailed BS'!H:H,'Detailed BS'!$D:$D,$C34)</f>
        <v>176183.42</v>
      </c>
      <c r="G34" s="59">
        <f>SUMIFS('Detailed BS'!I:I,'Detailed BS'!$D:$D,$C34)</f>
        <v>115586.40999999999</v>
      </c>
      <c r="H34" s="59">
        <f>SUMIFS('Detailed BS'!J:J,'Detailed BS'!$D:$D,$C34)</f>
        <v>78017.62</v>
      </c>
    </row>
    <row r="35" spans="2:8" x14ac:dyDescent="0.25">
      <c r="B35" s="61"/>
      <c r="C35" s="61" t="s">
        <v>538</v>
      </c>
      <c r="D35" s="59">
        <f>SUMIFS('Detailed BS'!F:F,'Detailed BS'!$D:$D,$C35)</f>
        <v>220208.63</v>
      </c>
      <c r="E35" s="59">
        <f>SUMIFS('Detailed BS'!G:G,'Detailed BS'!$D:$D,$C35)</f>
        <v>267425.5</v>
      </c>
      <c r="F35" s="59">
        <f>SUMIFS('Detailed BS'!H:H,'Detailed BS'!$D:$D,$C35)</f>
        <v>288664.96000000002</v>
      </c>
      <c r="G35" s="59">
        <f>SUMIFS('Detailed BS'!I:I,'Detailed BS'!$D:$D,$C35)</f>
        <v>205684.8</v>
      </c>
      <c r="H35" s="59">
        <f>SUMIFS('Detailed BS'!J:J,'Detailed BS'!$D:$D,$C35)</f>
        <v>123292.21</v>
      </c>
    </row>
    <row r="36" spans="2:8" x14ac:dyDescent="0.25">
      <c r="B36" s="61"/>
      <c r="C36" s="61" t="s">
        <v>537</v>
      </c>
      <c r="D36" s="59">
        <f>SUMIFS('Detailed BS'!F:F,'Detailed BS'!$D:$D,$C36)</f>
        <v>0</v>
      </c>
      <c r="E36" s="59">
        <f>SUMIFS('Detailed BS'!G:G,'Detailed BS'!$D:$D,$C36)</f>
        <v>141531.06</v>
      </c>
      <c r="F36" s="59">
        <f>SUMIFS('Detailed BS'!H:H,'Detailed BS'!$D:$D,$C36)</f>
        <v>178423.59</v>
      </c>
      <c r="G36" s="59">
        <f>SUMIFS('Detailed BS'!I:I,'Detailed BS'!$D:$D,$C36)</f>
        <v>116507.76</v>
      </c>
      <c r="H36" s="59">
        <f>SUMIFS('Detailed BS'!J:J,'Detailed BS'!$D:$D,$C36)</f>
        <v>66348.67</v>
      </c>
    </row>
    <row r="37" spans="2:8" ht="13" x14ac:dyDescent="0.3">
      <c r="B37" s="60" t="s">
        <v>551</v>
      </c>
      <c r="C37" s="62"/>
      <c r="D37" s="53">
        <f>SUM(D34:D36)</f>
        <v>254631.57</v>
      </c>
      <c r="E37" s="53">
        <f t="shared" ref="E37:H37" si="4">SUM(E34:E36)</f>
        <v>607837.28</v>
      </c>
      <c r="F37" s="53">
        <f t="shared" si="4"/>
        <v>643271.97</v>
      </c>
      <c r="G37" s="53">
        <f t="shared" si="4"/>
        <v>437778.97</v>
      </c>
      <c r="H37" s="53">
        <f t="shared" si="4"/>
        <v>267658.5</v>
      </c>
    </row>
    <row r="38" spans="2:8" x14ac:dyDescent="0.25">
      <c r="B38" s="61"/>
      <c r="C38" s="61"/>
      <c r="D38" s="59"/>
      <c r="E38" s="59"/>
      <c r="F38" s="59"/>
      <c r="G38" s="59"/>
      <c r="H38" s="59"/>
    </row>
    <row r="39" spans="2:8" ht="13" x14ac:dyDescent="0.3">
      <c r="B39" s="60" t="s">
        <v>513</v>
      </c>
      <c r="C39" s="61"/>
      <c r="D39" s="59"/>
      <c r="E39" s="59"/>
      <c r="F39" s="59"/>
      <c r="G39" s="59"/>
      <c r="H39" s="59"/>
    </row>
    <row r="40" spans="2:8" x14ac:dyDescent="0.25">
      <c r="B40" s="61"/>
      <c r="C40" s="61" t="s">
        <v>533</v>
      </c>
      <c r="D40" s="59">
        <f>SUMIFS('Detailed BS'!F:F,'Detailed BS'!$D:$D,$C40)</f>
        <v>165000</v>
      </c>
      <c r="E40" s="59">
        <f>SUMIFS('Detailed BS'!G:G,'Detailed BS'!$D:$D,$C40)</f>
        <v>165000</v>
      </c>
      <c r="F40" s="59">
        <f>SUMIFS('Detailed BS'!H:H,'Detailed BS'!$D:$D,$C40)</f>
        <v>165000</v>
      </c>
      <c r="G40" s="59">
        <f>SUMIFS('Detailed BS'!I:I,'Detailed BS'!$D:$D,$C40)</f>
        <v>165000</v>
      </c>
      <c r="H40" s="59">
        <f>SUMIFS('Detailed BS'!J:J,'Detailed BS'!$D:$D,$C40)</f>
        <v>165000</v>
      </c>
    </row>
    <row r="41" spans="2:8" x14ac:dyDescent="0.25">
      <c r="B41" s="61"/>
      <c r="C41" s="61" t="s">
        <v>540</v>
      </c>
      <c r="D41" s="59">
        <f>SUMIFS('Detailed BS'!F:F,'Detailed BS'!$D:$D,$C41)</f>
        <v>-1792102.5699999998</v>
      </c>
      <c r="E41" s="59">
        <f>SUMIFS('Detailed BS'!G:G,'Detailed BS'!$D:$D,$C41)</f>
        <v>-1554050.74</v>
      </c>
      <c r="F41" s="59">
        <f>SUMIFS('Detailed BS'!H:H,'Detailed BS'!$D:$D,$C41)</f>
        <v>-905247.85</v>
      </c>
      <c r="G41" s="59">
        <f>SUMIFS('Detailed BS'!I:I,'Detailed BS'!$D:$D,$C41)</f>
        <v>0</v>
      </c>
      <c r="H41" s="59">
        <f>SUMIFS('Detailed BS'!J:J,'Detailed BS'!$D:$D,$C41)</f>
        <v>37017.440000000002</v>
      </c>
    </row>
    <row r="42" spans="2:8" x14ac:dyDescent="0.25">
      <c r="B42" s="61"/>
      <c r="C42" s="61" t="s">
        <v>539</v>
      </c>
      <c r="D42" s="59">
        <f>SUMIFS('Detailed BS'!F:F,'Detailed BS'!$D:$D,$C42)</f>
        <v>6477387.0200000014</v>
      </c>
      <c r="E42" s="59">
        <f>SUMIFS('Detailed BS'!G:G,'Detailed BS'!$D:$D,$C42)</f>
        <v>4805268.8199999984</v>
      </c>
      <c r="F42" s="59">
        <f>SUMIFS('Detailed BS'!H:H,'Detailed BS'!$D:$D,$C42)</f>
        <v>4944293.5799999982</v>
      </c>
      <c r="G42" s="59">
        <f>SUMIFS('Detailed BS'!I:I,'Detailed BS'!$D:$D,$C42)</f>
        <v>5164656.2799999975</v>
      </c>
      <c r="H42" s="59">
        <f>SUMIFS('Detailed BS'!J:J,'Detailed BS'!$D:$D,$C42)</f>
        <v>5385890.75</v>
      </c>
    </row>
    <row r="43" spans="2:8" x14ac:dyDescent="0.25">
      <c r="B43" s="61"/>
      <c r="C43" s="61" t="s">
        <v>508</v>
      </c>
      <c r="D43" s="59">
        <f>SUMIFS('Detailed BS'!F:F,'Detailed BS'!$D:$D,$C43)</f>
        <v>119984.37</v>
      </c>
      <c r="E43" s="59">
        <f>SUMIFS('Detailed BS'!G:G,'Detailed BS'!$D:$D,$C43)</f>
        <v>1556135.5</v>
      </c>
      <c r="F43" s="59">
        <f>SUMIFS('Detailed BS'!H:H,'Detailed BS'!$D:$D,$C43)</f>
        <v>1000850.64</v>
      </c>
      <c r="G43" s="59">
        <f>SUMIFS('Detailed BS'!I:I,'Detailed BS'!$D:$D,$C43)</f>
        <v>221234.47</v>
      </c>
      <c r="H43" s="59">
        <f>SUMIFS('Detailed BS'!J:J,'Detailed BS'!$D:$D,$C43)</f>
        <v>121987.15</v>
      </c>
    </row>
    <row r="44" spans="2:8" ht="13" x14ac:dyDescent="0.3">
      <c r="B44" s="60" t="s">
        <v>552</v>
      </c>
      <c r="C44" s="62"/>
      <c r="D44" s="53">
        <f>SUM(D40:D43)</f>
        <v>4970268.8200000012</v>
      </c>
      <c r="E44" s="53">
        <f>SUM(E40:E43)</f>
        <v>4972353.5799999982</v>
      </c>
      <c r="F44" s="53">
        <f>SUM(F40:F43)</f>
        <v>5204896.3699999982</v>
      </c>
      <c r="G44" s="53">
        <f>SUM(G40:G43)</f>
        <v>5550890.7499999972</v>
      </c>
      <c r="H44" s="53">
        <f>SUM(H40:H43)</f>
        <v>5709895.3400000008</v>
      </c>
    </row>
    <row r="45" spans="2:8" x14ac:dyDescent="0.25">
      <c r="D45" s="59"/>
      <c r="E45" s="59"/>
      <c r="F45" s="59"/>
      <c r="G45" s="59"/>
      <c r="H45" s="59"/>
    </row>
    <row r="46" spans="2:8" ht="13.5" thickBot="1" x14ac:dyDescent="0.35">
      <c r="B46" s="51" t="s">
        <v>553</v>
      </c>
      <c r="C46" s="52"/>
      <c r="D46" s="55">
        <f>D44+D37</f>
        <v>5224900.3900000015</v>
      </c>
      <c r="E46" s="55">
        <f>E44+E37</f>
        <v>5580190.8599999985</v>
      </c>
      <c r="F46" s="55">
        <f>F44+F37</f>
        <v>5848168.339999998</v>
      </c>
      <c r="G46" s="55">
        <f>G44+G37</f>
        <v>5988669.7199999969</v>
      </c>
      <c r="H46" s="55">
        <f>H44+H37</f>
        <v>5977553.8400000008</v>
      </c>
    </row>
    <row r="47" spans="2:8" ht="13" thickTop="1" x14ac:dyDescent="0.25">
      <c r="D47" s="59"/>
      <c r="E47" s="59"/>
      <c r="F47" s="59"/>
      <c r="G47" s="59"/>
      <c r="H47" s="59"/>
    </row>
    <row r="48" spans="2:8" ht="13" hidden="1" outlineLevel="1" x14ac:dyDescent="0.3">
      <c r="B48" s="63" t="s">
        <v>554</v>
      </c>
      <c r="D48" s="59">
        <f>D30-D46</f>
        <v>0</v>
      </c>
      <c r="E48" s="59">
        <f>E30-E46</f>
        <v>0</v>
      </c>
      <c r="F48" s="59">
        <f>F30-F46</f>
        <v>0</v>
      </c>
      <c r="G48" s="59">
        <f>G30-G46</f>
        <v>0</v>
      </c>
      <c r="H48" s="59">
        <f>H30-H46</f>
        <v>0</v>
      </c>
    </row>
    <row r="49" spans="4:8" collapsed="1" x14ac:dyDescent="0.25">
      <c r="D49" s="59"/>
      <c r="E49" s="59"/>
      <c r="F49" s="59"/>
      <c r="G49" s="59"/>
      <c r="H49" s="59"/>
    </row>
    <row r="50" spans="4:8" x14ac:dyDescent="0.25">
      <c r="D50" s="59"/>
      <c r="E50" s="59"/>
      <c r="F50" s="59"/>
      <c r="G50" s="59"/>
      <c r="H50" s="59"/>
    </row>
    <row r="51" spans="4:8" x14ac:dyDescent="0.25">
      <c r="D51" s="59"/>
    </row>
    <row r="52" spans="4:8" x14ac:dyDescent="0.25">
      <c r="D52" s="59"/>
      <c r="E52" s="59"/>
      <c r="F52" s="59"/>
      <c r="G52" s="59"/>
      <c r="H52" s="59"/>
    </row>
    <row r="53" spans="4:8" x14ac:dyDescent="0.25">
      <c r="D53" s="59"/>
    </row>
    <row r="54" spans="4:8" x14ac:dyDescent="0.25">
      <c r="D54" s="59"/>
      <c r="E54" s="59"/>
      <c r="F54" s="59"/>
      <c r="G54" s="59"/>
      <c r="H54" s="59"/>
    </row>
    <row r="55" spans="4:8" x14ac:dyDescent="0.25">
      <c r="D55" s="59"/>
    </row>
    <row r="56" spans="4:8" x14ac:dyDescent="0.25">
      <c r="D56" s="59"/>
      <c r="E56" s="59"/>
      <c r="F56" s="59"/>
      <c r="G56" s="59"/>
      <c r="H56" s="59"/>
    </row>
  </sheetData>
  <pageMargins left="0.7" right="0.7" top="0.75" bottom="0.75" header="0.3" footer="0.3"/>
  <pageSetup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A162-6D6B-4DC5-A17E-95071016FF5B}">
  <sheetPr>
    <tabColor theme="4"/>
  </sheetPr>
  <dimension ref="A1"/>
  <sheetViews>
    <sheetView showGridLines="0" view="pageBreakPreview" zoomScale="60" zoomScaleNormal="100" workbookViewId="0"/>
  </sheetViews>
  <sheetFormatPr defaultRowHeight="12.5" x14ac:dyDescent="0.25"/>
  <sheetData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8CB6-F276-4014-AE4B-3F802E9D0882}">
  <dimension ref="B1:I851"/>
  <sheetViews>
    <sheetView showGridLines="0" view="pageBreakPreview" zoomScale="70" zoomScaleNormal="100" zoomScaleSheetLayoutView="70" workbookViewId="0"/>
  </sheetViews>
  <sheetFormatPr defaultRowHeight="12.5" x14ac:dyDescent="0.25"/>
  <cols>
    <col min="1" max="1" width="2.6328125" customWidth="1"/>
    <col min="2" max="2" width="27.81640625" style="40" bestFit="1" customWidth="1"/>
    <col min="3" max="3" width="34.90625" bestFit="1" customWidth="1"/>
    <col min="4" max="4" width="34.90625" customWidth="1"/>
    <col min="5" max="5" width="22.90625" bestFit="1" customWidth="1"/>
  </cols>
  <sheetData>
    <row r="1" spans="2:9" ht="13" x14ac:dyDescent="0.3">
      <c r="B1" s="36" t="s">
        <v>462</v>
      </c>
    </row>
    <row r="2" spans="2:9" ht="13" x14ac:dyDescent="0.3">
      <c r="B2" s="41" t="s">
        <v>461</v>
      </c>
      <c r="C2" s="42"/>
      <c r="D2" s="42"/>
      <c r="E2" s="42"/>
      <c r="I2" s="32"/>
    </row>
    <row r="3" spans="2:9" ht="13" x14ac:dyDescent="0.3">
      <c r="B3" s="37"/>
      <c r="I3" s="32"/>
    </row>
    <row r="4" spans="2:9" ht="13" x14ac:dyDescent="0.3">
      <c r="B4" s="37"/>
      <c r="I4" s="32"/>
    </row>
    <row r="5" spans="2:9" ht="16" x14ac:dyDescent="0.6">
      <c r="B5" s="38" t="s">
        <v>463</v>
      </c>
      <c r="C5" s="39" t="s">
        <v>464</v>
      </c>
      <c r="D5" s="39" t="s">
        <v>471</v>
      </c>
      <c r="E5" s="39" t="s">
        <v>465</v>
      </c>
      <c r="I5" s="32"/>
    </row>
    <row r="6" spans="2:9" x14ac:dyDescent="0.25">
      <c r="B6" s="57" t="s">
        <v>444</v>
      </c>
      <c r="C6" t="str">
        <f>_xlfn.XLOOKUP(B6,'Sep 2025 BS'!A:A,'Sep 2025 BS'!B:B)</f>
        <v xml:space="preserve">   -Chase - Checking</v>
      </c>
      <c r="D6" t="s">
        <v>519</v>
      </c>
      <c r="E6" t="s">
        <v>511</v>
      </c>
      <c r="I6" s="32"/>
    </row>
    <row r="7" spans="2:9" x14ac:dyDescent="0.25">
      <c r="B7" s="57" t="s">
        <v>442</v>
      </c>
      <c r="C7" t="str">
        <f>_xlfn.XLOOKUP(B7,'Sep 2025 BS'!A:A,'Sep 2025 BS'!B:B)</f>
        <v xml:space="preserve">   -Chase  - Payroll</v>
      </c>
      <c r="D7" t="s">
        <v>519</v>
      </c>
      <c r="E7" t="s">
        <v>511</v>
      </c>
      <c r="I7" s="32"/>
    </row>
    <row r="8" spans="2:9" x14ac:dyDescent="0.25">
      <c r="B8" s="57" t="s">
        <v>440</v>
      </c>
      <c r="C8" t="str">
        <f>_xlfn.XLOOKUP(B8,'Sep 2025 BS'!A:A,'Sep 2025 BS'!B:B)</f>
        <v xml:space="preserve">   -Chase - AR Payments</v>
      </c>
      <c r="D8" t="s">
        <v>519</v>
      </c>
      <c r="E8" t="s">
        <v>511</v>
      </c>
      <c r="I8" s="32"/>
    </row>
    <row r="9" spans="2:9" x14ac:dyDescent="0.25">
      <c r="B9" s="57" t="s">
        <v>428</v>
      </c>
      <c r="C9" t="str">
        <f>_xlfn.XLOOKUP(B9,'Sep 2025 BS'!A:A,'Sep 2025 BS'!B:B)</f>
        <v xml:space="preserve">   -Allowance for Doubtful Accounts</v>
      </c>
      <c r="D9" t="s">
        <v>521</v>
      </c>
      <c r="E9" t="s">
        <v>511</v>
      </c>
      <c r="I9" s="32"/>
    </row>
    <row r="10" spans="2:9" x14ac:dyDescent="0.25">
      <c r="B10" s="57" t="s">
        <v>426</v>
      </c>
      <c r="C10" t="str">
        <f>_xlfn.XLOOKUP(B10,'Sep 2025 BS'!A:A,'Sep 2025 BS'!B:B)</f>
        <v xml:space="preserve">   -Customer Deposits</v>
      </c>
      <c r="D10" t="s">
        <v>534</v>
      </c>
      <c r="E10" t="s">
        <v>511</v>
      </c>
      <c r="I10" s="32"/>
    </row>
    <row r="11" spans="2:9" x14ac:dyDescent="0.25">
      <c r="B11" s="57" t="s">
        <v>460</v>
      </c>
      <c r="C11" t="s">
        <v>459</v>
      </c>
      <c r="D11" t="s">
        <v>522</v>
      </c>
      <c r="E11" t="s">
        <v>511</v>
      </c>
      <c r="I11" s="32"/>
    </row>
    <row r="12" spans="2:9" x14ac:dyDescent="0.25">
      <c r="B12" s="57" t="s">
        <v>434</v>
      </c>
      <c r="C12" t="str">
        <f>_xlfn.XLOOKUP(B12,'Sep 2025 BS'!A:A,'Sep 2025 BS'!B:B)</f>
        <v xml:space="preserve">   -Morgan Stanley</v>
      </c>
      <c r="D12" t="s">
        <v>520</v>
      </c>
      <c r="E12" t="s">
        <v>511</v>
      </c>
      <c r="I12" s="32"/>
    </row>
    <row r="13" spans="2:9" x14ac:dyDescent="0.25">
      <c r="B13" s="57" t="s">
        <v>432</v>
      </c>
      <c r="C13" s="57" t="s">
        <v>431</v>
      </c>
      <c r="D13" t="s">
        <v>520</v>
      </c>
      <c r="E13" t="s">
        <v>511</v>
      </c>
      <c r="I13" s="32"/>
    </row>
    <row r="14" spans="2:9" x14ac:dyDescent="0.25">
      <c r="B14" s="57" t="s">
        <v>438</v>
      </c>
      <c r="C14" t="str">
        <f>_xlfn.XLOOKUP(B14,'Sep 2025 BS'!A:A,'Sep 2025 BS'!B:B)</f>
        <v xml:space="preserve">   Petty Cash</v>
      </c>
      <c r="D14" t="s">
        <v>519</v>
      </c>
      <c r="E14" t="s">
        <v>511</v>
      </c>
      <c r="I14" s="32"/>
    </row>
    <row r="15" spans="2:9" x14ac:dyDescent="0.25">
      <c r="B15" s="57" t="s">
        <v>424</v>
      </c>
      <c r="C15" t="str">
        <f>_xlfn.XLOOKUP(B15,'Sep 2025 BS'!A:A,'Sep 2025 BS'!B:B)</f>
        <v xml:space="preserve">   -Accounts Receivable</v>
      </c>
      <c r="D15" t="s">
        <v>522</v>
      </c>
      <c r="E15" t="s">
        <v>511</v>
      </c>
      <c r="I15" s="32"/>
    </row>
    <row r="16" spans="2:9" x14ac:dyDescent="0.25">
      <c r="B16" s="57" t="s">
        <v>420</v>
      </c>
      <c r="C16" t="str">
        <f>_xlfn.XLOOKUP(B16,'Sep 2025 BS'!A:A,'Sep 2025 BS'!B:B)</f>
        <v xml:space="preserve">   -Raw Material</v>
      </c>
      <c r="D16" t="s">
        <v>535</v>
      </c>
      <c r="E16" t="s">
        <v>511</v>
      </c>
      <c r="I16" s="32"/>
    </row>
    <row r="17" spans="2:9" x14ac:dyDescent="0.25">
      <c r="B17" s="57" t="s">
        <v>418</v>
      </c>
      <c r="C17" t="str">
        <f>_xlfn.XLOOKUP(B17,'Sep 2025 BS'!A:A,'Sep 2025 BS'!B:B)</f>
        <v xml:space="preserve">   -W I P</v>
      </c>
      <c r="D17" t="s">
        <v>535</v>
      </c>
      <c r="E17" t="s">
        <v>511</v>
      </c>
      <c r="I17" s="32"/>
    </row>
    <row r="18" spans="2:9" x14ac:dyDescent="0.25">
      <c r="B18" s="57" t="s">
        <v>416</v>
      </c>
      <c r="C18" t="str">
        <f>_xlfn.XLOOKUP(B18,'Sep 2025 BS'!A:A,'Sep 2025 BS'!B:B)</f>
        <v xml:space="preserve">   -Finished Goods</v>
      </c>
      <c r="D18" t="s">
        <v>535</v>
      </c>
      <c r="E18" t="s">
        <v>511</v>
      </c>
      <c r="I18" s="32"/>
    </row>
    <row r="19" spans="2:9" x14ac:dyDescent="0.25">
      <c r="B19" s="57" t="s">
        <v>414</v>
      </c>
      <c r="C19" t="str">
        <f>_xlfn.XLOOKUP(B19,'Sep 2025 BS'!A:A,'Sep 2025 BS'!B:B)</f>
        <v xml:space="preserve">   -Inventory - Inspection</v>
      </c>
      <c r="D19" t="s">
        <v>535</v>
      </c>
      <c r="E19" t="s">
        <v>511</v>
      </c>
      <c r="I19" s="32"/>
    </row>
    <row r="20" spans="2:9" x14ac:dyDescent="0.25">
      <c r="B20" s="57" t="s">
        <v>412</v>
      </c>
      <c r="C20" t="str">
        <f>_xlfn.XLOOKUP(B20,'Sep 2025 BS'!A:A,'Sep 2025 BS'!B:B)</f>
        <v xml:space="preserve">   -Inventory - DMR Pending</v>
      </c>
      <c r="D20" t="s">
        <v>535</v>
      </c>
      <c r="E20" t="s">
        <v>511</v>
      </c>
      <c r="I20" s="32"/>
    </row>
    <row r="21" spans="2:9" x14ac:dyDescent="0.25">
      <c r="B21" s="57" t="s">
        <v>397</v>
      </c>
      <c r="C21" t="str">
        <f>_xlfn.XLOOKUP(B21,'Sep 2025 BS'!A:A,'Sep 2025 BS'!B:B)</f>
        <v xml:space="preserve">   -Land</v>
      </c>
      <c r="D21" t="s">
        <v>523</v>
      </c>
      <c r="E21" t="s">
        <v>511</v>
      </c>
      <c r="I21" s="32"/>
    </row>
    <row r="22" spans="2:9" x14ac:dyDescent="0.25">
      <c r="B22" s="57" t="s">
        <v>395</v>
      </c>
      <c r="C22" t="str">
        <f>_xlfn.XLOOKUP(B22,'Sep 2025 BS'!A:A,'Sep 2025 BS'!B:B)</f>
        <v xml:space="preserve">   -Building</v>
      </c>
      <c r="D22" t="s">
        <v>524</v>
      </c>
      <c r="E22" t="s">
        <v>511</v>
      </c>
      <c r="I22" s="32"/>
    </row>
    <row r="23" spans="2:9" x14ac:dyDescent="0.25">
      <c r="B23" s="57" t="s">
        <v>393</v>
      </c>
      <c r="C23" t="str">
        <f>_xlfn.XLOOKUP(B23,'Sep 2025 BS'!A:A,'Sep 2025 BS'!B:B)</f>
        <v xml:space="preserve">   -Leasehold Improvements</v>
      </c>
      <c r="D23" t="s">
        <v>525</v>
      </c>
      <c r="E23" t="s">
        <v>511</v>
      </c>
      <c r="I23" s="32"/>
    </row>
    <row r="24" spans="2:9" x14ac:dyDescent="0.25">
      <c r="B24" s="57" t="s">
        <v>391</v>
      </c>
      <c r="C24" t="str">
        <f>_xlfn.XLOOKUP(B24,'Sep 2025 BS'!A:A,'Sep 2025 BS'!B:B)</f>
        <v xml:space="preserve">   -Machinery &amp; Equipment</v>
      </c>
      <c r="D24" t="s">
        <v>526</v>
      </c>
      <c r="E24" t="s">
        <v>511</v>
      </c>
      <c r="I24" s="32"/>
    </row>
    <row r="25" spans="2:9" x14ac:dyDescent="0.25">
      <c r="B25" s="57" t="s">
        <v>456</v>
      </c>
      <c r="C25" t="str">
        <f>_xlfn.XLOOKUP(B25,'Sep 2025 BS'!A:A,'Sep 2025 BS'!B:B)</f>
        <v xml:space="preserve">   -Computer Equipment</v>
      </c>
      <c r="D25" t="s">
        <v>527</v>
      </c>
      <c r="E25" t="s">
        <v>511</v>
      </c>
      <c r="I25" s="32"/>
    </row>
    <row r="26" spans="2:9" x14ac:dyDescent="0.25">
      <c r="B26" s="57" t="s">
        <v>389</v>
      </c>
      <c r="C26" t="str">
        <f>_xlfn.XLOOKUP(B26,'Sep 2025 BS'!A:A,'Sep 2025 BS'!B:B)</f>
        <v xml:space="preserve">   -Computer Software</v>
      </c>
      <c r="D26" t="s">
        <v>528</v>
      </c>
      <c r="E26" t="s">
        <v>511</v>
      </c>
      <c r="I26" s="32"/>
    </row>
    <row r="27" spans="2:9" x14ac:dyDescent="0.25">
      <c r="B27" s="57" t="s">
        <v>387</v>
      </c>
      <c r="C27" t="str">
        <f>_xlfn.XLOOKUP(B27,'Sep 2025 BS'!A:A,'Sep 2025 BS'!B:B)</f>
        <v xml:space="preserve">   -Automobiles</v>
      </c>
      <c r="D27" t="s">
        <v>529</v>
      </c>
      <c r="E27" t="s">
        <v>511</v>
      </c>
      <c r="I27" s="32"/>
    </row>
    <row r="28" spans="2:9" x14ac:dyDescent="0.25">
      <c r="B28" s="57" t="s">
        <v>385</v>
      </c>
      <c r="C28" t="str">
        <f>_xlfn.XLOOKUP(B28,'Sep 2025 BS'!A:A,'Sep 2025 BS'!B:B)</f>
        <v xml:space="preserve">   -Accumulated Depreciation</v>
      </c>
      <c r="D28" t="s">
        <v>530</v>
      </c>
      <c r="E28" t="s">
        <v>511</v>
      </c>
      <c r="I28" s="32"/>
    </row>
    <row r="29" spans="2:9" x14ac:dyDescent="0.25">
      <c r="B29" s="57" t="s">
        <v>383</v>
      </c>
      <c r="C29" t="str">
        <f>_xlfn.XLOOKUP(B29,'Sep 2025 BS'!A:A,'Sep 2025 BS'!B:B)</f>
        <v xml:space="preserve">   -Accumulated Amortization</v>
      </c>
      <c r="D29" t="s">
        <v>531</v>
      </c>
      <c r="E29" t="s">
        <v>511</v>
      </c>
      <c r="I29" s="32"/>
    </row>
    <row r="30" spans="2:9" x14ac:dyDescent="0.25">
      <c r="B30" s="57" t="s">
        <v>408</v>
      </c>
      <c r="C30" t="str">
        <f>_xlfn.XLOOKUP(B30,'Sep 2025 BS'!A:A,'Sep 2025 BS'!B:B)</f>
        <v xml:space="preserve">   -Prepaid Insurance</v>
      </c>
      <c r="D30" t="s">
        <v>536</v>
      </c>
      <c r="E30" t="s">
        <v>511</v>
      </c>
      <c r="I30" s="32"/>
    </row>
    <row r="31" spans="2:9" x14ac:dyDescent="0.25">
      <c r="B31" s="57" t="s">
        <v>458</v>
      </c>
      <c r="C31" t="str">
        <f>_xlfn.XLOOKUP(B31,'Sep 2025 BS'!A:A,'Sep 2025 BS'!B:B)</f>
        <v xml:space="preserve">   -Prepaid Workers Comp</v>
      </c>
      <c r="D31" t="s">
        <v>536</v>
      </c>
      <c r="E31" t="s">
        <v>511</v>
      </c>
      <c r="I31" s="32"/>
    </row>
    <row r="32" spans="2:9" x14ac:dyDescent="0.25">
      <c r="B32" s="57" t="s">
        <v>406</v>
      </c>
      <c r="C32" t="str">
        <f>_xlfn.XLOOKUP(B32,'Sep 2025 BS'!A:A,'Sep 2025 BS'!B:B)</f>
        <v xml:space="preserve">   -Prepaid RE Taxes</v>
      </c>
      <c r="D32" t="s">
        <v>536</v>
      </c>
      <c r="E32" t="s">
        <v>511</v>
      </c>
      <c r="I32" s="32"/>
    </row>
    <row r="33" spans="2:9" x14ac:dyDescent="0.25">
      <c r="B33" s="57" t="s">
        <v>452</v>
      </c>
      <c r="C33" t="s">
        <v>451</v>
      </c>
      <c r="D33" t="s">
        <v>536</v>
      </c>
      <c r="E33" t="s">
        <v>511</v>
      </c>
      <c r="I33" s="32"/>
    </row>
    <row r="34" spans="2:9" x14ac:dyDescent="0.25">
      <c r="B34" s="57" t="s">
        <v>404</v>
      </c>
      <c r="C34" t="str">
        <f>_xlfn.XLOOKUP(B34,'Sep 2025 BS'!A:A,'Sep 2025 BS'!B:B)</f>
        <v xml:space="preserve">   -Advances</v>
      </c>
      <c r="D34" t="s">
        <v>536</v>
      </c>
      <c r="E34" t="s">
        <v>511</v>
      </c>
      <c r="I34" s="32"/>
    </row>
    <row r="35" spans="2:9" x14ac:dyDescent="0.25">
      <c r="B35" s="57" t="s">
        <v>402</v>
      </c>
      <c r="C35" t="str">
        <f>_xlfn.XLOOKUP(B35,'Sep 2025 BS'!A:A,'Sep 2025 BS'!B:B)</f>
        <v xml:space="preserve">   -PPD - Trade Show Expenses</v>
      </c>
      <c r="D35" t="s">
        <v>536</v>
      </c>
      <c r="E35" t="s">
        <v>511</v>
      </c>
      <c r="I35" s="32"/>
    </row>
    <row r="36" spans="2:9" x14ac:dyDescent="0.25">
      <c r="B36" s="57" t="s">
        <v>377</v>
      </c>
      <c r="C36" t="str">
        <f>_xlfn.XLOOKUP(B36,'Sep 2025 BS'!A:A,'Sep 2025 BS'!B:B)</f>
        <v xml:space="preserve">   -Accounts Payable</v>
      </c>
      <c r="D36" t="s">
        <v>532</v>
      </c>
      <c r="E36" t="s">
        <v>512</v>
      </c>
      <c r="I36" s="32"/>
    </row>
    <row r="37" spans="2:9" x14ac:dyDescent="0.25">
      <c r="B37" s="57" t="s">
        <v>375</v>
      </c>
      <c r="C37" t="str">
        <f>_xlfn.XLOOKUP(B37,'Sep 2025 BS'!A:A,'Sep 2025 BS'!B:B)</f>
        <v xml:space="preserve">   AMEX Payable</v>
      </c>
      <c r="D37" t="s">
        <v>532</v>
      </c>
      <c r="E37" t="s">
        <v>512</v>
      </c>
      <c r="I37" s="32"/>
    </row>
    <row r="38" spans="2:9" x14ac:dyDescent="0.25">
      <c r="B38" s="57" t="s">
        <v>373</v>
      </c>
      <c r="C38" t="s">
        <v>372</v>
      </c>
      <c r="D38" t="s">
        <v>532</v>
      </c>
      <c r="E38" t="s">
        <v>512</v>
      </c>
      <c r="I38" s="32"/>
    </row>
    <row r="39" spans="2:9" x14ac:dyDescent="0.25">
      <c r="B39" s="57" t="s">
        <v>371</v>
      </c>
      <c r="C39" t="str">
        <f>_xlfn.XLOOKUP(B39,'Sep 2025 BS'!A:A,'Sep 2025 BS'!B:B)</f>
        <v xml:space="preserve">   -Accrued Purchase Receipts</v>
      </c>
      <c r="D39" t="s">
        <v>532</v>
      </c>
      <c r="E39" t="s">
        <v>512</v>
      </c>
      <c r="I39" s="32"/>
    </row>
    <row r="40" spans="2:9" x14ac:dyDescent="0.25">
      <c r="B40" s="57" t="s">
        <v>454</v>
      </c>
      <c r="C40" t="s">
        <v>453</v>
      </c>
      <c r="D40" t="s">
        <v>538</v>
      </c>
      <c r="E40" t="s">
        <v>512</v>
      </c>
      <c r="I40" s="32"/>
    </row>
    <row r="41" spans="2:9" x14ac:dyDescent="0.25">
      <c r="B41" s="57" t="s">
        <v>450</v>
      </c>
      <c r="C41" t="str">
        <f>_xlfn.XLOOKUP(B41,'Sep 2025 BS'!A:A,'Sep 2025 BS'!B:B)</f>
        <v xml:space="preserve">   -Lease Payable -  Screen Printer</v>
      </c>
      <c r="D41" t="s">
        <v>537</v>
      </c>
      <c r="E41" t="s">
        <v>512</v>
      </c>
      <c r="I41" s="32"/>
    </row>
    <row r="42" spans="2:9" x14ac:dyDescent="0.25">
      <c r="B42" s="57" t="s">
        <v>365</v>
      </c>
      <c r="C42" t="str">
        <f>_xlfn.XLOOKUP(B42,'Sep 2025 BS'!A:A,'Sep 2025 BS'!B:B)</f>
        <v xml:space="preserve">   -Lease Payable - Pick and Place</v>
      </c>
      <c r="D42" t="s">
        <v>537</v>
      </c>
      <c r="E42" t="s">
        <v>512</v>
      </c>
      <c r="I42" s="32"/>
    </row>
    <row r="43" spans="2:9" x14ac:dyDescent="0.25">
      <c r="B43" s="57" t="s">
        <v>363</v>
      </c>
      <c r="C43" t="str">
        <f>_xlfn.XLOOKUP(B43,'Sep 2025 BS'!A:A,'Sep 2025 BS'!B:B)</f>
        <v xml:space="preserve">   -Lease Payable - Phone System</v>
      </c>
      <c r="D43" t="s">
        <v>537</v>
      </c>
      <c r="E43" t="s">
        <v>512</v>
      </c>
      <c r="I43" s="32"/>
    </row>
    <row r="44" spans="2:9" x14ac:dyDescent="0.25">
      <c r="B44" s="57" t="s">
        <v>361</v>
      </c>
      <c r="C44" t="str">
        <f>_xlfn.XLOOKUP(B44,'Sep 2025 BS'!A:A,'Sep 2025 BS'!B:B)</f>
        <v xml:space="preserve">   -Accrued Payroll &amp; Taxes</v>
      </c>
      <c r="D44" t="s">
        <v>538</v>
      </c>
      <c r="E44" t="s">
        <v>512</v>
      </c>
    </row>
    <row r="45" spans="2:9" x14ac:dyDescent="0.25">
      <c r="B45" s="57" t="s">
        <v>359</v>
      </c>
      <c r="C45" t="str">
        <f>_xlfn.XLOOKUP(B45,'Sep 2025 BS'!A:A,'Sep 2025 BS'!B:B)</f>
        <v xml:space="preserve">   -Accrued Expenses</v>
      </c>
      <c r="D45" t="s">
        <v>538</v>
      </c>
      <c r="E45" t="s">
        <v>512</v>
      </c>
    </row>
    <row r="46" spans="2:9" x14ac:dyDescent="0.25">
      <c r="B46" s="57" t="s">
        <v>357</v>
      </c>
      <c r="C46" t="str">
        <f>_xlfn.XLOOKUP(B46,'Sep 2025 BS'!A:A,'Sep 2025 BS'!B:B)</f>
        <v xml:space="preserve">   -Accrued Profit Sharing</v>
      </c>
      <c r="D46" t="s">
        <v>538</v>
      </c>
      <c r="E46" t="s">
        <v>512</v>
      </c>
    </row>
    <row r="47" spans="2:9" x14ac:dyDescent="0.25">
      <c r="B47" s="35" t="s">
        <v>514</v>
      </c>
      <c r="C47" t="s">
        <v>351</v>
      </c>
      <c r="D47" t="s">
        <v>533</v>
      </c>
      <c r="E47" t="s">
        <v>513</v>
      </c>
    </row>
    <row r="48" spans="2:9" x14ac:dyDescent="0.25">
      <c r="B48" s="57" t="s">
        <v>347</v>
      </c>
      <c r="C48" t="str">
        <f>_xlfn.XLOOKUP(B48,'Sep 2025 BS'!A:A,'Sep 2025 BS'!B:B)</f>
        <v xml:space="preserve">   -Retained Earnings - Distributions</v>
      </c>
      <c r="D48" t="s">
        <v>539</v>
      </c>
      <c r="E48" t="s">
        <v>513</v>
      </c>
    </row>
    <row r="49" spans="2:5" x14ac:dyDescent="0.25">
      <c r="B49" s="35" t="s">
        <v>515</v>
      </c>
      <c r="C49" t="s">
        <v>350</v>
      </c>
      <c r="D49" t="s">
        <v>540</v>
      </c>
      <c r="E49" t="s">
        <v>513</v>
      </c>
    </row>
    <row r="50" spans="2:5" x14ac:dyDescent="0.25">
      <c r="B50" s="35" t="s">
        <v>516</v>
      </c>
      <c r="C50" t="s">
        <v>349</v>
      </c>
      <c r="D50" t="s">
        <v>540</v>
      </c>
      <c r="E50" t="s">
        <v>513</v>
      </c>
    </row>
    <row r="51" spans="2:5" x14ac:dyDescent="0.25">
      <c r="B51" s="35" t="s">
        <v>517</v>
      </c>
      <c r="C51" t="s">
        <v>348</v>
      </c>
      <c r="D51" t="s">
        <v>539</v>
      </c>
      <c r="E51" t="s">
        <v>513</v>
      </c>
    </row>
    <row r="52" spans="2:5" x14ac:dyDescent="0.25">
      <c r="B52" s="35" t="s">
        <v>518</v>
      </c>
      <c r="C52" t="s">
        <v>345</v>
      </c>
      <c r="D52" t="s">
        <v>508</v>
      </c>
      <c r="E52" t="s">
        <v>513</v>
      </c>
    </row>
    <row r="53" spans="2:5" x14ac:dyDescent="0.25">
      <c r="B53" s="35" t="s">
        <v>334</v>
      </c>
      <c r="C53" t="s">
        <v>332</v>
      </c>
      <c r="D53" t="s">
        <v>472</v>
      </c>
      <c r="E53" t="s">
        <v>466</v>
      </c>
    </row>
    <row r="54" spans="2:5" x14ac:dyDescent="0.25">
      <c r="B54" s="35" t="s">
        <v>333</v>
      </c>
      <c r="C54" t="s">
        <v>332</v>
      </c>
      <c r="D54" t="s">
        <v>472</v>
      </c>
      <c r="E54" t="s">
        <v>466</v>
      </c>
    </row>
    <row r="55" spans="2:5" x14ac:dyDescent="0.25">
      <c r="B55" s="35" t="s">
        <v>331</v>
      </c>
      <c r="C55" t="s">
        <v>330</v>
      </c>
      <c r="D55" t="s">
        <v>475</v>
      </c>
      <c r="E55" t="s">
        <v>466</v>
      </c>
    </row>
    <row r="56" spans="2:5" x14ac:dyDescent="0.25">
      <c r="B56" s="35" t="s">
        <v>329</v>
      </c>
      <c r="C56" t="s">
        <v>322</v>
      </c>
      <c r="D56" t="s">
        <v>475</v>
      </c>
      <c r="E56" t="s">
        <v>466</v>
      </c>
    </row>
    <row r="57" spans="2:5" x14ac:dyDescent="0.25">
      <c r="B57" s="35" t="s">
        <v>328</v>
      </c>
      <c r="C57" t="s">
        <v>322</v>
      </c>
      <c r="D57" t="s">
        <v>475</v>
      </c>
      <c r="E57" t="s">
        <v>466</v>
      </c>
    </row>
    <row r="58" spans="2:5" x14ac:dyDescent="0.25">
      <c r="B58" s="35" t="s">
        <v>327</v>
      </c>
      <c r="C58" t="s">
        <v>326</v>
      </c>
      <c r="D58" t="s">
        <v>475</v>
      </c>
      <c r="E58" t="s">
        <v>466</v>
      </c>
    </row>
    <row r="59" spans="2:5" x14ac:dyDescent="0.25">
      <c r="B59" s="35" t="s">
        <v>325</v>
      </c>
      <c r="C59" t="s">
        <v>324</v>
      </c>
      <c r="D59" t="s">
        <v>473</v>
      </c>
      <c r="E59" t="s">
        <v>466</v>
      </c>
    </row>
    <row r="60" spans="2:5" x14ac:dyDescent="0.25">
      <c r="B60" s="35" t="s">
        <v>319</v>
      </c>
      <c r="C60" t="s">
        <v>318</v>
      </c>
      <c r="D60" t="s">
        <v>476</v>
      </c>
      <c r="E60" t="s">
        <v>467</v>
      </c>
    </row>
    <row r="61" spans="2:5" x14ac:dyDescent="0.25">
      <c r="B61" s="35" t="s">
        <v>317</v>
      </c>
      <c r="C61" t="s">
        <v>316</v>
      </c>
      <c r="D61" t="s">
        <v>482</v>
      </c>
      <c r="E61" t="s">
        <v>467</v>
      </c>
    </row>
    <row r="62" spans="2:5" x14ac:dyDescent="0.25">
      <c r="B62" s="35" t="s">
        <v>315</v>
      </c>
      <c r="C62" t="s">
        <v>314</v>
      </c>
      <c r="D62" t="s">
        <v>474</v>
      </c>
      <c r="E62" t="s">
        <v>467</v>
      </c>
    </row>
    <row r="63" spans="2:5" x14ac:dyDescent="0.25">
      <c r="B63" s="35" t="s">
        <v>313</v>
      </c>
      <c r="C63" t="s">
        <v>312</v>
      </c>
      <c r="D63" t="s">
        <v>477</v>
      </c>
      <c r="E63" t="s">
        <v>467</v>
      </c>
    </row>
    <row r="64" spans="2:5" x14ac:dyDescent="0.25">
      <c r="B64" s="35" t="s">
        <v>311</v>
      </c>
      <c r="C64" t="s">
        <v>310</v>
      </c>
      <c r="D64" t="s">
        <v>479</v>
      </c>
      <c r="E64" t="s">
        <v>467</v>
      </c>
    </row>
    <row r="65" spans="2:5" x14ac:dyDescent="0.25">
      <c r="B65" s="35" t="s">
        <v>309</v>
      </c>
      <c r="C65" t="s">
        <v>308</v>
      </c>
      <c r="D65" t="s">
        <v>479</v>
      </c>
      <c r="E65" t="s">
        <v>467</v>
      </c>
    </row>
    <row r="66" spans="2:5" x14ac:dyDescent="0.25">
      <c r="B66" s="35" t="s">
        <v>307</v>
      </c>
      <c r="C66" t="s">
        <v>306</v>
      </c>
      <c r="D66" t="s">
        <v>32</v>
      </c>
      <c r="E66" t="s">
        <v>467</v>
      </c>
    </row>
    <row r="67" spans="2:5" x14ac:dyDescent="0.25">
      <c r="B67" s="35" t="s">
        <v>305</v>
      </c>
      <c r="C67" t="s">
        <v>304</v>
      </c>
      <c r="D67" t="s">
        <v>479</v>
      </c>
      <c r="E67" t="s">
        <v>467</v>
      </c>
    </row>
    <row r="68" spans="2:5" x14ac:dyDescent="0.25">
      <c r="B68" s="35" t="s">
        <v>299</v>
      </c>
      <c r="C68" t="s">
        <v>298</v>
      </c>
      <c r="D68" t="s">
        <v>482</v>
      </c>
      <c r="E68" t="s">
        <v>467</v>
      </c>
    </row>
    <row r="69" spans="2:5" x14ac:dyDescent="0.25">
      <c r="B69" s="35" t="s">
        <v>297</v>
      </c>
      <c r="C69" t="s">
        <v>296</v>
      </c>
      <c r="D69" t="s">
        <v>474</v>
      </c>
      <c r="E69" t="s">
        <v>467</v>
      </c>
    </row>
    <row r="70" spans="2:5" x14ac:dyDescent="0.25">
      <c r="B70" s="35" t="s">
        <v>295</v>
      </c>
      <c r="C70" t="s">
        <v>294</v>
      </c>
      <c r="D70" t="s">
        <v>482</v>
      </c>
      <c r="E70" t="s">
        <v>467</v>
      </c>
    </row>
    <row r="71" spans="2:5" x14ac:dyDescent="0.25">
      <c r="B71" s="35" t="s">
        <v>293</v>
      </c>
      <c r="C71" t="s">
        <v>292</v>
      </c>
      <c r="D71" t="s">
        <v>482</v>
      </c>
      <c r="E71" t="s">
        <v>467</v>
      </c>
    </row>
    <row r="72" spans="2:5" x14ac:dyDescent="0.25">
      <c r="B72" s="35" t="s">
        <v>291</v>
      </c>
      <c r="C72" t="s">
        <v>287</v>
      </c>
      <c r="D72" t="s">
        <v>482</v>
      </c>
      <c r="E72" t="s">
        <v>467</v>
      </c>
    </row>
    <row r="73" spans="2:5" x14ac:dyDescent="0.25">
      <c r="B73" s="35" t="s">
        <v>290</v>
      </c>
      <c r="C73" t="s">
        <v>287</v>
      </c>
      <c r="D73" t="s">
        <v>482</v>
      </c>
      <c r="E73" t="s">
        <v>467</v>
      </c>
    </row>
    <row r="74" spans="2:5" x14ac:dyDescent="0.25">
      <c r="B74" s="35" t="s">
        <v>289</v>
      </c>
      <c r="C74" t="s">
        <v>287</v>
      </c>
      <c r="D74" t="s">
        <v>482</v>
      </c>
      <c r="E74" t="s">
        <v>467</v>
      </c>
    </row>
    <row r="75" spans="2:5" x14ac:dyDescent="0.25">
      <c r="B75" s="35" t="s">
        <v>288</v>
      </c>
      <c r="C75" t="s">
        <v>287</v>
      </c>
      <c r="D75" t="s">
        <v>482</v>
      </c>
      <c r="E75" t="s">
        <v>467</v>
      </c>
    </row>
    <row r="76" spans="2:5" x14ac:dyDescent="0.25">
      <c r="B76" s="35" t="s">
        <v>286</v>
      </c>
      <c r="C76" t="s">
        <v>284</v>
      </c>
      <c r="D76" t="s">
        <v>482</v>
      </c>
      <c r="E76" t="s">
        <v>467</v>
      </c>
    </row>
    <row r="77" spans="2:5" x14ac:dyDescent="0.25">
      <c r="B77" s="35" t="s">
        <v>285</v>
      </c>
      <c r="C77" t="s">
        <v>284</v>
      </c>
      <c r="D77" t="s">
        <v>482</v>
      </c>
      <c r="E77" t="s">
        <v>467</v>
      </c>
    </row>
    <row r="78" spans="2:5" x14ac:dyDescent="0.25">
      <c r="B78" s="35" t="s">
        <v>283</v>
      </c>
      <c r="C78" t="s">
        <v>280</v>
      </c>
      <c r="D78" t="s">
        <v>482</v>
      </c>
      <c r="E78" t="s">
        <v>467</v>
      </c>
    </row>
    <row r="79" spans="2:5" x14ac:dyDescent="0.25">
      <c r="B79" s="35" t="s">
        <v>282</v>
      </c>
      <c r="C79" t="s">
        <v>280</v>
      </c>
      <c r="D79" t="s">
        <v>482</v>
      </c>
      <c r="E79" t="s">
        <v>467</v>
      </c>
    </row>
    <row r="80" spans="2:5" x14ac:dyDescent="0.25">
      <c r="B80" s="35" t="s">
        <v>281</v>
      </c>
      <c r="C80" t="s">
        <v>280</v>
      </c>
      <c r="D80" t="s">
        <v>482</v>
      </c>
      <c r="E80" t="s">
        <v>467</v>
      </c>
    </row>
    <row r="81" spans="2:5" x14ac:dyDescent="0.25">
      <c r="B81" s="35" t="s">
        <v>279</v>
      </c>
      <c r="C81" t="s">
        <v>276</v>
      </c>
      <c r="D81" t="s">
        <v>482</v>
      </c>
      <c r="E81" t="s">
        <v>467</v>
      </c>
    </row>
    <row r="82" spans="2:5" x14ac:dyDescent="0.25">
      <c r="B82" s="35" t="s">
        <v>278</v>
      </c>
      <c r="C82" t="s">
        <v>276</v>
      </c>
      <c r="D82" t="s">
        <v>482</v>
      </c>
      <c r="E82" t="s">
        <v>467</v>
      </c>
    </row>
    <row r="83" spans="2:5" x14ac:dyDescent="0.25">
      <c r="B83" s="35" t="s">
        <v>277</v>
      </c>
      <c r="C83" t="s">
        <v>276</v>
      </c>
      <c r="D83" t="s">
        <v>482</v>
      </c>
      <c r="E83" t="s">
        <v>467</v>
      </c>
    </row>
    <row r="84" spans="2:5" x14ac:dyDescent="0.25">
      <c r="B84" s="35" t="s">
        <v>275</v>
      </c>
      <c r="C84" t="s">
        <v>274</v>
      </c>
      <c r="D84" t="s">
        <v>482</v>
      </c>
      <c r="E84" t="s">
        <v>467</v>
      </c>
    </row>
    <row r="85" spans="2:5" x14ac:dyDescent="0.25">
      <c r="B85" s="35" t="s">
        <v>273</v>
      </c>
      <c r="C85" t="s">
        <v>90</v>
      </c>
      <c r="D85" t="s">
        <v>482</v>
      </c>
      <c r="E85" t="s">
        <v>467</v>
      </c>
    </row>
    <row r="86" spans="2:5" x14ac:dyDescent="0.25">
      <c r="B86" s="35" t="s">
        <v>272</v>
      </c>
      <c r="C86" t="s">
        <v>90</v>
      </c>
      <c r="D86" t="s">
        <v>482</v>
      </c>
      <c r="E86" t="s">
        <v>467</v>
      </c>
    </row>
    <row r="87" spans="2:5" x14ac:dyDescent="0.25">
      <c r="B87" s="35" t="s">
        <v>271</v>
      </c>
      <c r="C87" t="s">
        <v>154</v>
      </c>
      <c r="D87" t="s">
        <v>482</v>
      </c>
      <c r="E87" t="s">
        <v>467</v>
      </c>
    </row>
    <row r="88" spans="2:5" x14ac:dyDescent="0.25">
      <c r="B88" s="35" t="s">
        <v>270</v>
      </c>
      <c r="C88" t="s">
        <v>154</v>
      </c>
      <c r="D88" t="s">
        <v>482</v>
      </c>
      <c r="E88" t="s">
        <v>467</v>
      </c>
    </row>
    <row r="89" spans="2:5" x14ac:dyDescent="0.25">
      <c r="B89" s="35" t="s">
        <v>269</v>
      </c>
      <c r="C89" t="s">
        <v>154</v>
      </c>
      <c r="D89" t="s">
        <v>482</v>
      </c>
      <c r="E89" t="s">
        <v>467</v>
      </c>
    </row>
    <row r="90" spans="2:5" x14ac:dyDescent="0.25">
      <c r="B90" s="35" t="s">
        <v>268</v>
      </c>
      <c r="C90" t="s">
        <v>150</v>
      </c>
      <c r="D90" t="s">
        <v>482</v>
      </c>
      <c r="E90" t="s">
        <v>467</v>
      </c>
    </row>
    <row r="91" spans="2:5" x14ac:dyDescent="0.25">
      <c r="B91" s="35" t="s">
        <v>267</v>
      </c>
      <c r="C91" t="s">
        <v>266</v>
      </c>
      <c r="D91" t="s">
        <v>482</v>
      </c>
      <c r="E91" t="s">
        <v>467</v>
      </c>
    </row>
    <row r="92" spans="2:5" x14ac:dyDescent="0.25">
      <c r="B92" s="35" t="s">
        <v>265</v>
      </c>
      <c r="C92" t="s">
        <v>264</v>
      </c>
      <c r="D92" t="s">
        <v>479</v>
      </c>
      <c r="E92" t="s">
        <v>467</v>
      </c>
    </row>
    <row r="93" spans="2:5" x14ac:dyDescent="0.25">
      <c r="B93" s="35" t="s">
        <v>263</v>
      </c>
      <c r="C93" t="s">
        <v>262</v>
      </c>
      <c r="D93" t="s">
        <v>478</v>
      </c>
      <c r="E93" t="s">
        <v>467</v>
      </c>
    </row>
    <row r="94" spans="2:5" x14ac:dyDescent="0.25">
      <c r="B94" s="35" t="s">
        <v>261</v>
      </c>
      <c r="C94" t="s">
        <v>259</v>
      </c>
      <c r="D94" t="s">
        <v>478</v>
      </c>
      <c r="E94" t="s">
        <v>467</v>
      </c>
    </row>
    <row r="95" spans="2:5" x14ac:dyDescent="0.25">
      <c r="B95" s="35" t="s">
        <v>260</v>
      </c>
      <c r="C95" t="s">
        <v>259</v>
      </c>
      <c r="D95" t="s">
        <v>478</v>
      </c>
      <c r="E95" t="s">
        <v>467</v>
      </c>
    </row>
    <row r="96" spans="2:5" x14ac:dyDescent="0.25">
      <c r="B96" s="35" t="s">
        <v>258</v>
      </c>
      <c r="C96" t="s">
        <v>256</v>
      </c>
      <c r="D96" t="s">
        <v>478</v>
      </c>
      <c r="E96" t="s">
        <v>467</v>
      </c>
    </row>
    <row r="97" spans="2:5" x14ac:dyDescent="0.25">
      <c r="B97" s="35" t="s">
        <v>257</v>
      </c>
      <c r="C97" t="s">
        <v>256</v>
      </c>
      <c r="D97" t="s">
        <v>478</v>
      </c>
      <c r="E97" t="s">
        <v>467</v>
      </c>
    </row>
    <row r="98" spans="2:5" x14ac:dyDescent="0.25">
      <c r="B98" s="35" t="s">
        <v>255</v>
      </c>
      <c r="C98" t="s">
        <v>254</v>
      </c>
      <c r="D98" t="s">
        <v>478</v>
      </c>
      <c r="E98" t="s">
        <v>467</v>
      </c>
    </row>
    <row r="99" spans="2:5" x14ac:dyDescent="0.25">
      <c r="B99" s="35" t="s">
        <v>253</v>
      </c>
      <c r="C99" t="s">
        <v>252</v>
      </c>
      <c r="D99" t="s">
        <v>478</v>
      </c>
      <c r="E99" t="s">
        <v>467</v>
      </c>
    </row>
    <row r="100" spans="2:5" x14ac:dyDescent="0.25">
      <c r="B100" s="35" t="s">
        <v>251</v>
      </c>
      <c r="C100" t="s">
        <v>250</v>
      </c>
      <c r="D100" t="s">
        <v>478</v>
      </c>
      <c r="E100" t="s">
        <v>467</v>
      </c>
    </row>
    <row r="101" spans="2:5" x14ac:dyDescent="0.25">
      <c r="B101" s="35" t="s">
        <v>249</v>
      </c>
      <c r="C101" t="s">
        <v>248</v>
      </c>
      <c r="D101" t="s">
        <v>476</v>
      </c>
      <c r="E101" t="s">
        <v>467</v>
      </c>
    </row>
    <row r="102" spans="2:5" x14ac:dyDescent="0.25">
      <c r="B102" s="35" t="s">
        <v>247</v>
      </c>
      <c r="C102" t="s">
        <v>245</v>
      </c>
      <c r="D102" t="s">
        <v>476</v>
      </c>
      <c r="E102" t="s">
        <v>467</v>
      </c>
    </row>
    <row r="103" spans="2:5" x14ac:dyDescent="0.25">
      <c r="B103" s="35" t="s">
        <v>246</v>
      </c>
      <c r="C103" t="s">
        <v>245</v>
      </c>
      <c r="D103" t="s">
        <v>476</v>
      </c>
      <c r="E103" t="s">
        <v>467</v>
      </c>
    </row>
    <row r="104" spans="2:5" x14ac:dyDescent="0.25">
      <c r="B104" s="35" t="s">
        <v>244</v>
      </c>
      <c r="C104" t="s">
        <v>243</v>
      </c>
      <c r="D104" t="s">
        <v>479</v>
      </c>
      <c r="E104" t="s">
        <v>467</v>
      </c>
    </row>
    <row r="105" spans="2:5" x14ac:dyDescent="0.25">
      <c r="B105" s="35" t="s">
        <v>242</v>
      </c>
      <c r="C105" t="s">
        <v>241</v>
      </c>
      <c r="D105" t="s">
        <v>479</v>
      </c>
      <c r="E105" t="s">
        <v>467</v>
      </c>
    </row>
    <row r="106" spans="2:5" x14ac:dyDescent="0.25">
      <c r="B106" s="35" t="s">
        <v>240</v>
      </c>
      <c r="C106" t="s">
        <v>136</v>
      </c>
      <c r="D106" t="s">
        <v>477</v>
      </c>
      <c r="E106" t="s">
        <v>467</v>
      </c>
    </row>
    <row r="107" spans="2:5" x14ac:dyDescent="0.25">
      <c r="B107" s="35" t="s">
        <v>239</v>
      </c>
      <c r="C107" t="s">
        <v>238</v>
      </c>
      <c r="D107" t="s">
        <v>477</v>
      </c>
      <c r="E107" t="s">
        <v>467</v>
      </c>
    </row>
    <row r="108" spans="2:5" x14ac:dyDescent="0.25">
      <c r="B108" s="35" t="s">
        <v>237</v>
      </c>
      <c r="C108" t="s">
        <v>236</v>
      </c>
      <c r="D108" t="s">
        <v>479</v>
      </c>
      <c r="E108" t="s">
        <v>467</v>
      </c>
    </row>
    <row r="109" spans="2:5" x14ac:dyDescent="0.25">
      <c r="B109" s="35" t="s">
        <v>235</v>
      </c>
      <c r="C109" t="s">
        <v>234</v>
      </c>
      <c r="D109" t="s">
        <v>479</v>
      </c>
      <c r="E109" t="s">
        <v>467</v>
      </c>
    </row>
    <row r="110" spans="2:5" x14ac:dyDescent="0.25">
      <c r="B110" s="35" t="s">
        <v>233</v>
      </c>
      <c r="C110" t="s">
        <v>232</v>
      </c>
      <c r="D110" t="s">
        <v>479</v>
      </c>
      <c r="E110" t="s">
        <v>467</v>
      </c>
    </row>
    <row r="111" spans="2:5" x14ac:dyDescent="0.25">
      <c r="B111" s="35" t="s">
        <v>231</v>
      </c>
      <c r="C111" t="s">
        <v>230</v>
      </c>
      <c r="D111" t="s">
        <v>479</v>
      </c>
      <c r="E111" t="s">
        <v>467</v>
      </c>
    </row>
    <row r="112" spans="2:5" x14ac:dyDescent="0.25">
      <c r="B112" s="35" t="s">
        <v>229</v>
      </c>
      <c r="C112" t="s">
        <v>228</v>
      </c>
      <c r="D112" t="s">
        <v>479</v>
      </c>
      <c r="E112" t="s">
        <v>467</v>
      </c>
    </row>
    <row r="113" spans="2:5" x14ac:dyDescent="0.25">
      <c r="B113" s="35" t="s">
        <v>227</v>
      </c>
      <c r="C113" t="s">
        <v>226</v>
      </c>
      <c r="D113" t="s">
        <v>479</v>
      </c>
      <c r="E113" t="s">
        <v>467</v>
      </c>
    </row>
    <row r="114" spans="2:5" x14ac:dyDescent="0.25">
      <c r="B114" s="35" t="s">
        <v>225</v>
      </c>
      <c r="C114" t="s">
        <v>224</v>
      </c>
      <c r="D114" t="s">
        <v>479</v>
      </c>
      <c r="E114" t="s">
        <v>467</v>
      </c>
    </row>
    <row r="115" spans="2:5" x14ac:dyDescent="0.25">
      <c r="B115" s="35" t="s">
        <v>223</v>
      </c>
      <c r="C115" t="s">
        <v>222</v>
      </c>
      <c r="D115" t="s">
        <v>479</v>
      </c>
      <c r="E115" t="s">
        <v>467</v>
      </c>
    </row>
    <row r="116" spans="2:5" x14ac:dyDescent="0.25">
      <c r="B116" s="35" t="s">
        <v>303</v>
      </c>
      <c r="C116" t="s">
        <v>302</v>
      </c>
      <c r="D116" t="s">
        <v>479</v>
      </c>
      <c r="E116" t="s">
        <v>467</v>
      </c>
    </row>
    <row r="117" spans="2:5" x14ac:dyDescent="0.25">
      <c r="B117" s="35" t="s">
        <v>301</v>
      </c>
      <c r="C117" t="s">
        <v>300</v>
      </c>
      <c r="D117" t="s">
        <v>479</v>
      </c>
      <c r="E117" t="s">
        <v>467</v>
      </c>
    </row>
    <row r="118" spans="2:5" x14ac:dyDescent="0.25">
      <c r="B118" s="35" t="s">
        <v>85</v>
      </c>
      <c r="C118" t="s">
        <v>84</v>
      </c>
      <c r="D118" t="s">
        <v>470</v>
      </c>
      <c r="E118" t="s">
        <v>470</v>
      </c>
    </row>
    <row r="119" spans="2:5" x14ac:dyDescent="0.25">
      <c r="B119" s="35" t="s">
        <v>83</v>
      </c>
      <c r="C119" t="s">
        <v>82</v>
      </c>
      <c r="D119" t="s">
        <v>470</v>
      </c>
      <c r="E119" t="s">
        <v>470</v>
      </c>
    </row>
    <row r="120" spans="2:5" x14ac:dyDescent="0.25">
      <c r="B120" s="35" t="s">
        <v>221</v>
      </c>
      <c r="C120" t="s">
        <v>220</v>
      </c>
      <c r="D120" t="s">
        <v>479</v>
      </c>
      <c r="E120" t="s">
        <v>467</v>
      </c>
    </row>
    <row r="121" spans="2:5" x14ac:dyDescent="0.25">
      <c r="B121" s="35" t="s">
        <v>219</v>
      </c>
      <c r="C121" t="s">
        <v>218</v>
      </c>
      <c r="D121" t="s">
        <v>479</v>
      </c>
      <c r="E121" t="s">
        <v>467</v>
      </c>
    </row>
    <row r="122" spans="2:5" x14ac:dyDescent="0.25">
      <c r="B122" s="35" t="s">
        <v>217</v>
      </c>
      <c r="C122" t="s">
        <v>104</v>
      </c>
      <c r="D122" t="s">
        <v>488</v>
      </c>
      <c r="E122" t="s">
        <v>467</v>
      </c>
    </row>
    <row r="123" spans="2:5" x14ac:dyDescent="0.25">
      <c r="B123" s="35" t="s">
        <v>216</v>
      </c>
      <c r="C123" t="s">
        <v>104</v>
      </c>
      <c r="D123" t="s">
        <v>488</v>
      </c>
      <c r="E123" t="s">
        <v>467</v>
      </c>
    </row>
    <row r="124" spans="2:5" x14ac:dyDescent="0.25">
      <c r="B124" s="35" t="s">
        <v>215</v>
      </c>
      <c r="C124" t="s">
        <v>102</v>
      </c>
      <c r="D124" t="s">
        <v>488</v>
      </c>
      <c r="E124" t="s">
        <v>467</v>
      </c>
    </row>
    <row r="125" spans="2:5" x14ac:dyDescent="0.25">
      <c r="B125" s="35" t="s">
        <v>214</v>
      </c>
      <c r="C125" t="s">
        <v>100</v>
      </c>
      <c r="D125" t="s">
        <v>488</v>
      </c>
      <c r="E125" t="s">
        <v>467</v>
      </c>
    </row>
    <row r="126" spans="2:5" x14ac:dyDescent="0.25">
      <c r="B126" s="35" t="s">
        <v>213</v>
      </c>
      <c r="C126" t="s">
        <v>92</v>
      </c>
      <c r="D126" t="s">
        <v>501</v>
      </c>
      <c r="E126" t="s">
        <v>467</v>
      </c>
    </row>
    <row r="127" spans="2:5" x14ac:dyDescent="0.25">
      <c r="B127" s="35" t="s">
        <v>209</v>
      </c>
      <c r="C127" t="s">
        <v>207</v>
      </c>
      <c r="D127" t="s">
        <v>490</v>
      </c>
      <c r="E127" t="s">
        <v>469</v>
      </c>
    </row>
    <row r="128" spans="2:5" x14ac:dyDescent="0.25">
      <c r="B128" s="35" t="s">
        <v>208</v>
      </c>
      <c r="C128" t="s">
        <v>207</v>
      </c>
      <c r="D128" t="s">
        <v>490</v>
      </c>
      <c r="E128" t="s">
        <v>469</v>
      </c>
    </row>
    <row r="129" spans="2:5" x14ac:dyDescent="0.25">
      <c r="B129" s="35" t="s">
        <v>206</v>
      </c>
      <c r="C129" t="s">
        <v>90</v>
      </c>
      <c r="D129" t="s">
        <v>490</v>
      </c>
      <c r="E129" t="s">
        <v>469</v>
      </c>
    </row>
    <row r="130" spans="2:5" x14ac:dyDescent="0.25">
      <c r="B130" s="35" t="s">
        <v>205</v>
      </c>
      <c r="C130" t="s">
        <v>90</v>
      </c>
      <c r="D130" t="s">
        <v>490</v>
      </c>
      <c r="E130" t="s">
        <v>469</v>
      </c>
    </row>
    <row r="131" spans="2:5" x14ac:dyDescent="0.25">
      <c r="B131" s="35" t="s">
        <v>204</v>
      </c>
      <c r="C131" t="s">
        <v>154</v>
      </c>
      <c r="D131" t="s">
        <v>490</v>
      </c>
      <c r="E131" t="s">
        <v>469</v>
      </c>
    </row>
    <row r="132" spans="2:5" x14ac:dyDescent="0.25">
      <c r="B132" s="35" t="s">
        <v>203</v>
      </c>
      <c r="C132" t="s">
        <v>154</v>
      </c>
      <c r="D132" t="s">
        <v>490</v>
      </c>
      <c r="E132" t="s">
        <v>469</v>
      </c>
    </row>
    <row r="133" spans="2:5" x14ac:dyDescent="0.25">
      <c r="B133" s="35" t="s">
        <v>202</v>
      </c>
      <c r="C133" t="s">
        <v>154</v>
      </c>
      <c r="D133" t="s">
        <v>490</v>
      </c>
      <c r="E133" t="s">
        <v>469</v>
      </c>
    </row>
    <row r="134" spans="2:5" x14ac:dyDescent="0.25">
      <c r="B134" s="35" t="s">
        <v>201</v>
      </c>
      <c r="C134" t="s">
        <v>88</v>
      </c>
      <c r="D134" t="s">
        <v>481</v>
      </c>
      <c r="E134" t="s">
        <v>469</v>
      </c>
    </row>
    <row r="135" spans="2:5" x14ac:dyDescent="0.25">
      <c r="B135" s="35" t="s">
        <v>200</v>
      </c>
      <c r="C135" t="s">
        <v>88</v>
      </c>
      <c r="D135" t="s">
        <v>481</v>
      </c>
      <c r="E135" t="s">
        <v>469</v>
      </c>
    </row>
    <row r="136" spans="2:5" x14ac:dyDescent="0.25">
      <c r="B136" s="35" t="s">
        <v>199</v>
      </c>
      <c r="C136" t="s">
        <v>144</v>
      </c>
      <c r="D136" t="s">
        <v>481</v>
      </c>
      <c r="E136" t="s">
        <v>469</v>
      </c>
    </row>
    <row r="137" spans="2:5" x14ac:dyDescent="0.25">
      <c r="B137" s="35" t="s">
        <v>198</v>
      </c>
      <c r="C137" t="s">
        <v>144</v>
      </c>
      <c r="D137" t="s">
        <v>481</v>
      </c>
      <c r="E137" t="s">
        <v>469</v>
      </c>
    </row>
    <row r="138" spans="2:5" x14ac:dyDescent="0.25">
      <c r="B138" s="35" t="s">
        <v>197</v>
      </c>
      <c r="C138" t="s">
        <v>195</v>
      </c>
      <c r="D138" t="s">
        <v>481</v>
      </c>
      <c r="E138" t="s">
        <v>469</v>
      </c>
    </row>
    <row r="139" spans="2:5" x14ac:dyDescent="0.25">
      <c r="B139" s="35" t="s">
        <v>196</v>
      </c>
      <c r="C139" t="s">
        <v>195</v>
      </c>
      <c r="D139" t="s">
        <v>481</v>
      </c>
      <c r="E139" t="s">
        <v>469</v>
      </c>
    </row>
    <row r="140" spans="2:5" x14ac:dyDescent="0.25">
      <c r="B140" s="35" t="s">
        <v>194</v>
      </c>
      <c r="C140" t="s">
        <v>193</v>
      </c>
      <c r="D140" t="s">
        <v>481</v>
      </c>
      <c r="E140" t="s">
        <v>469</v>
      </c>
    </row>
    <row r="141" spans="2:5" x14ac:dyDescent="0.25">
      <c r="B141" s="35" t="s">
        <v>192</v>
      </c>
      <c r="C141" t="s">
        <v>191</v>
      </c>
      <c r="D141" t="s">
        <v>481</v>
      </c>
      <c r="E141" t="s">
        <v>469</v>
      </c>
    </row>
    <row r="142" spans="2:5" x14ac:dyDescent="0.25">
      <c r="B142" s="35" t="s">
        <v>190</v>
      </c>
      <c r="C142" t="s">
        <v>189</v>
      </c>
      <c r="D142" t="s">
        <v>481</v>
      </c>
      <c r="E142" t="s">
        <v>469</v>
      </c>
    </row>
    <row r="143" spans="2:5" x14ac:dyDescent="0.25">
      <c r="B143" s="35" t="s">
        <v>188</v>
      </c>
      <c r="C143" t="s">
        <v>187</v>
      </c>
      <c r="D143" t="s">
        <v>481</v>
      </c>
      <c r="E143" t="s">
        <v>469</v>
      </c>
    </row>
    <row r="144" spans="2:5" x14ac:dyDescent="0.25">
      <c r="B144" s="35" t="s">
        <v>186</v>
      </c>
      <c r="C144" t="s">
        <v>185</v>
      </c>
      <c r="D144" t="s">
        <v>481</v>
      </c>
      <c r="E144" t="s">
        <v>469</v>
      </c>
    </row>
    <row r="145" spans="2:5" x14ac:dyDescent="0.25">
      <c r="B145" s="35" t="s">
        <v>184</v>
      </c>
      <c r="C145" t="s">
        <v>183</v>
      </c>
      <c r="D145" t="s">
        <v>481</v>
      </c>
      <c r="E145" t="s">
        <v>469</v>
      </c>
    </row>
    <row r="146" spans="2:5" x14ac:dyDescent="0.25">
      <c r="B146" s="35" t="s">
        <v>182</v>
      </c>
      <c r="C146" t="s">
        <v>181</v>
      </c>
      <c r="D146" t="s">
        <v>481</v>
      </c>
      <c r="E146" t="s">
        <v>469</v>
      </c>
    </row>
    <row r="147" spans="2:5" x14ac:dyDescent="0.25">
      <c r="B147" s="35" t="s">
        <v>180</v>
      </c>
      <c r="C147" t="s">
        <v>179</v>
      </c>
      <c r="D147" t="s">
        <v>481</v>
      </c>
      <c r="E147" t="s">
        <v>469</v>
      </c>
    </row>
    <row r="148" spans="2:5" x14ac:dyDescent="0.25">
      <c r="B148" s="35" t="s">
        <v>178</v>
      </c>
      <c r="C148" t="s">
        <v>177</v>
      </c>
      <c r="D148" t="s">
        <v>481</v>
      </c>
      <c r="E148" t="s">
        <v>469</v>
      </c>
    </row>
    <row r="149" spans="2:5" x14ac:dyDescent="0.25">
      <c r="B149" s="35" t="s">
        <v>176</v>
      </c>
      <c r="C149" t="s">
        <v>175</v>
      </c>
      <c r="D149" t="s">
        <v>481</v>
      </c>
      <c r="E149" t="s">
        <v>469</v>
      </c>
    </row>
    <row r="150" spans="2:5" x14ac:dyDescent="0.25">
      <c r="B150" s="35" t="s">
        <v>174</v>
      </c>
      <c r="C150" t="s">
        <v>173</v>
      </c>
      <c r="D150" t="s">
        <v>481</v>
      </c>
      <c r="E150" t="s">
        <v>469</v>
      </c>
    </row>
    <row r="151" spans="2:5" x14ac:dyDescent="0.25">
      <c r="B151" s="35" t="s">
        <v>168</v>
      </c>
      <c r="C151" t="s">
        <v>166</v>
      </c>
      <c r="D151" t="s">
        <v>490</v>
      </c>
      <c r="E151" t="s">
        <v>468</v>
      </c>
    </row>
    <row r="152" spans="2:5" x14ac:dyDescent="0.25">
      <c r="B152" s="35" t="s">
        <v>167</v>
      </c>
      <c r="C152" t="s">
        <v>166</v>
      </c>
      <c r="D152" t="s">
        <v>490</v>
      </c>
      <c r="E152" t="s">
        <v>468</v>
      </c>
    </row>
    <row r="153" spans="2:5" x14ac:dyDescent="0.25">
      <c r="B153" s="35" t="s">
        <v>165</v>
      </c>
      <c r="C153" t="s">
        <v>163</v>
      </c>
      <c r="D153" t="s">
        <v>490</v>
      </c>
      <c r="E153" t="s">
        <v>468</v>
      </c>
    </row>
    <row r="154" spans="2:5" x14ac:dyDescent="0.25">
      <c r="B154" s="35" t="s">
        <v>164</v>
      </c>
      <c r="C154" t="s">
        <v>163</v>
      </c>
      <c r="D154" t="s">
        <v>490</v>
      </c>
      <c r="E154" t="s">
        <v>468</v>
      </c>
    </row>
    <row r="155" spans="2:5" x14ac:dyDescent="0.25">
      <c r="B155" s="35" t="s">
        <v>162</v>
      </c>
      <c r="C155" t="s">
        <v>160</v>
      </c>
      <c r="D155" t="s">
        <v>36</v>
      </c>
      <c r="E155" t="s">
        <v>468</v>
      </c>
    </row>
    <row r="156" spans="2:5" x14ac:dyDescent="0.25">
      <c r="B156" s="35" t="s">
        <v>161</v>
      </c>
      <c r="C156" t="s">
        <v>160</v>
      </c>
      <c r="D156" t="s">
        <v>36</v>
      </c>
      <c r="E156" t="s">
        <v>468</v>
      </c>
    </row>
    <row r="157" spans="2:5" x14ac:dyDescent="0.25">
      <c r="B157" s="35" t="s">
        <v>159</v>
      </c>
      <c r="C157" t="s">
        <v>90</v>
      </c>
      <c r="D157" t="s">
        <v>490</v>
      </c>
      <c r="E157" t="s">
        <v>468</v>
      </c>
    </row>
    <row r="158" spans="2:5" x14ac:dyDescent="0.25">
      <c r="B158" s="35" t="s">
        <v>158</v>
      </c>
      <c r="C158" t="s">
        <v>90</v>
      </c>
      <c r="D158" t="s">
        <v>490</v>
      </c>
      <c r="E158" t="s">
        <v>468</v>
      </c>
    </row>
    <row r="159" spans="2:5" x14ac:dyDescent="0.25">
      <c r="B159" s="35" t="s">
        <v>157</v>
      </c>
      <c r="C159" t="s">
        <v>90</v>
      </c>
      <c r="D159" t="s">
        <v>490</v>
      </c>
      <c r="E159" t="s">
        <v>468</v>
      </c>
    </row>
    <row r="160" spans="2:5" x14ac:dyDescent="0.25">
      <c r="B160" s="35" t="s">
        <v>156</v>
      </c>
      <c r="C160" t="s">
        <v>154</v>
      </c>
      <c r="D160" t="s">
        <v>490</v>
      </c>
      <c r="E160" t="s">
        <v>468</v>
      </c>
    </row>
    <row r="161" spans="2:5" x14ac:dyDescent="0.25">
      <c r="B161" s="35" t="s">
        <v>155</v>
      </c>
      <c r="C161" t="s">
        <v>154</v>
      </c>
      <c r="D161" t="s">
        <v>490</v>
      </c>
      <c r="E161" t="s">
        <v>468</v>
      </c>
    </row>
    <row r="162" spans="2:5" x14ac:dyDescent="0.25">
      <c r="B162" s="35" t="s">
        <v>153</v>
      </c>
      <c r="C162" t="s">
        <v>152</v>
      </c>
      <c r="D162" t="s">
        <v>490</v>
      </c>
      <c r="E162" t="s">
        <v>468</v>
      </c>
    </row>
    <row r="163" spans="2:5" x14ac:dyDescent="0.25">
      <c r="B163" s="35" t="s">
        <v>151</v>
      </c>
      <c r="C163" t="s">
        <v>150</v>
      </c>
      <c r="D163" t="s">
        <v>490</v>
      </c>
      <c r="E163" t="s">
        <v>468</v>
      </c>
    </row>
    <row r="164" spans="2:5" x14ac:dyDescent="0.25">
      <c r="B164" s="35" t="s">
        <v>149</v>
      </c>
      <c r="C164" t="s">
        <v>88</v>
      </c>
      <c r="D164" t="s">
        <v>489</v>
      </c>
      <c r="E164" t="s">
        <v>468</v>
      </c>
    </row>
    <row r="165" spans="2:5" x14ac:dyDescent="0.25">
      <c r="B165" s="35" t="s">
        <v>148</v>
      </c>
      <c r="C165" t="s">
        <v>88</v>
      </c>
      <c r="D165" t="s">
        <v>489</v>
      </c>
      <c r="E165" t="s">
        <v>468</v>
      </c>
    </row>
    <row r="166" spans="2:5" x14ac:dyDescent="0.25">
      <c r="B166" s="35" t="s">
        <v>147</v>
      </c>
      <c r="C166" t="s">
        <v>88</v>
      </c>
      <c r="D166" t="s">
        <v>489</v>
      </c>
      <c r="E166" t="s">
        <v>468</v>
      </c>
    </row>
    <row r="167" spans="2:5" x14ac:dyDescent="0.25">
      <c r="B167" s="35" t="s">
        <v>146</v>
      </c>
      <c r="C167" t="s">
        <v>144</v>
      </c>
      <c r="D167" t="s">
        <v>489</v>
      </c>
      <c r="E167" t="s">
        <v>468</v>
      </c>
    </row>
    <row r="168" spans="2:5" x14ac:dyDescent="0.25">
      <c r="B168" s="35" t="s">
        <v>145</v>
      </c>
      <c r="C168" t="s">
        <v>144</v>
      </c>
      <c r="D168" t="s">
        <v>489</v>
      </c>
      <c r="E168" t="s">
        <v>468</v>
      </c>
    </row>
    <row r="169" spans="2:5" x14ac:dyDescent="0.25">
      <c r="B169" s="35" t="s">
        <v>143</v>
      </c>
      <c r="C169" t="s">
        <v>142</v>
      </c>
      <c r="D169" t="s">
        <v>491</v>
      </c>
      <c r="E169" t="s">
        <v>468</v>
      </c>
    </row>
    <row r="170" spans="2:5" x14ac:dyDescent="0.25">
      <c r="B170" s="35" t="s">
        <v>141</v>
      </c>
      <c r="C170" t="s">
        <v>140</v>
      </c>
      <c r="D170" t="s">
        <v>491</v>
      </c>
      <c r="E170" t="s">
        <v>468</v>
      </c>
    </row>
    <row r="171" spans="2:5" x14ac:dyDescent="0.25">
      <c r="B171" s="35" t="s">
        <v>139</v>
      </c>
      <c r="C171" t="s">
        <v>138</v>
      </c>
      <c r="D171" t="s">
        <v>491</v>
      </c>
      <c r="E171" t="s">
        <v>468</v>
      </c>
    </row>
    <row r="172" spans="2:5" x14ac:dyDescent="0.25">
      <c r="B172" s="35" t="s">
        <v>137</v>
      </c>
      <c r="C172" t="s">
        <v>136</v>
      </c>
      <c r="D172" t="s">
        <v>491</v>
      </c>
      <c r="E172" t="s">
        <v>468</v>
      </c>
    </row>
    <row r="173" spans="2:5" x14ac:dyDescent="0.25">
      <c r="B173" s="35" t="s">
        <v>135</v>
      </c>
      <c r="C173" t="s">
        <v>134</v>
      </c>
      <c r="D173" t="s">
        <v>496</v>
      </c>
      <c r="E173" t="s">
        <v>468</v>
      </c>
    </row>
    <row r="174" spans="2:5" x14ac:dyDescent="0.25">
      <c r="B174" s="35" t="s">
        <v>133</v>
      </c>
      <c r="C174" t="s">
        <v>132</v>
      </c>
      <c r="D174" t="s">
        <v>485</v>
      </c>
      <c r="E174" t="s">
        <v>468</v>
      </c>
    </row>
    <row r="175" spans="2:5" x14ac:dyDescent="0.25">
      <c r="B175" s="35" t="s">
        <v>131</v>
      </c>
      <c r="C175" t="s">
        <v>129</v>
      </c>
      <c r="D175" t="s">
        <v>485</v>
      </c>
      <c r="E175" t="s">
        <v>468</v>
      </c>
    </row>
    <row r="176" spans="2:5" x14ac:dyDescent="0.25">
      <c r="B176" s="35" t="s">
        <v>130</v>
      </c>
      <c r="C176" t="s">
        <v>129</v>
      </c>
      <c r="D176" t="s">
        <v>485</v>
      </c>
      <c r="E176" t="s">
        <v>468</v>
      </c>
    </row>
    <row r="177" spans="2:5" x14ac:dyDescent="0.25">
      <c r="B177" s="35" t="s">
        <v>128</v>
      </c>
      <c r="C177" t="s">
        <v>127</v>
      </c>
      <c r="D177" t="s">
        <v>485</v>
      </c>
      <c r="E177" t="s">
        <v>468</v>
      </c>
    </row>
    <row r="178" spans="2:5" x14ac:dyDescent="0.25">
      <c r="B178" s="35" t="s">
        <v>126</v>
      </c>
      <c r="C178" t="s">
        <v>124</v>
      </c>
      <c r="D178" t="s">
        <v>485</v>
      </c>
      <c r="E178" t="s">
        <v>468</v>
      </c>
    </row>
    <row r="179" spans="2:5" x14ac:dyDescent="0.25">
      <c r="B179" s="35" t="s">
        <v>125</v>
      </c>
      <c r="C179" t="s">
        <v>124</v>
      </c>
      <c r="D179" t="s">
        <v>485</v>
      </c>
      <c r="E179" t="s">
        <v>468</v>
      </c>
    </row>
    <row r="180" spans="2:5" x14ac:dyDescent="0.25">
      <c r="B180" s="35" t="s">
        <v>123</v>
      </c>
      <c r="C180" t="s">
        <v>121</v>
      </c>
      <c r="D180" t="s">
        <v>485</v>
      </c>
      <c r="E180" t="s">
        <v>468</v>
      </c>
    </row>
    <row r="181" spans="2:5" x14ac:dyDescent="0.25">
      <c r="B181" s="35" t="s">
        <v>122</v>
      </c>
      <c r="C181" t="s">
        <v>121</v>
      </c>
      <c r="D181" t="s">
        <v>485</v>
      </c>
      <c r="E181" t="s">
        <v>468</v>
      </c>
    </row>
    <row r="182" spans="2:5" x14ac:dyDescent="0.25">
      <c r="B182" s="35" t="s">
        <v>120</v>
      </c>
      <c r="C182" t="s">
        <v>119</v>
      </c>
      <c r="D182" t="s">
        <v>485</v>
      </c>
      <c r="E182" t="s">
        <v>468</v>
      </c>
    </row>
    <row r="183" spans="2:5" x14ac:dyDescent="0.25">
      <c r="B183" s="35" t="s">
        <v>118</v>
      </c>
      <c r="C183" t="s">
        <v>116</v>
      </c>
      <c r="D183" t="s">
        <v>485</v>
      </c>
      <c r="E183" t="s">
        <v>468</v>
      </c>
    </row>
    <row r="184" spans="2:5" x14ac:dyDescent="0.25">
      <c r="B184" s="35" t="s">
        <v>117</v>
      </c>
      <c r="C184" t="s">
        <v>116</v>
      </c>
      <c r="D184" t="s">
        <v>485</v>
      </c>
      <c r="E184" t="s">
        <v>468</v>
      </c>
    </row>
    <row r="185" spans="2:5" x14ac:dyDescent="0.25">
      <c r="B185" s="35" t="s">
        <v>115</v>
      </c>
      <c r="C185" t="s">
        <v>113</v>
      </c>
      <c r="D185" t="s">
        <v>486</v>
      </c>
      <c r="E185" t="s">
        <v>468</v>
      </c>
    </row>
    <row r="186" spans="2:5" x14ac:dyDescent="0.25">
      <c r="B186" s="35" t="s">
        <v>114</v>
      </c>
      <c r="C186" t="s">
        <v>113</v>
      </c>
      <c r="D186" t="s">
        <v>486</v>
      </c>
      <c r="E186" t="s">
        <v>468</v>
      </c>
    </row>
    <row r="187" spans="2:5" x14ac:dyDescent="0.25">
      <c r="B187" s="35" t="s">
        <v>112</v>
      </c>
      <c r="C187" t="s">
        <v>111</v>
      </c>
      <c r="D187" t="s">
        <v>489</v>
      </c>
      <c r="E187" t="s">
        <v>468</v>
      </c>
    </row>
    <row r="188" spans="2:5" x14ac:dyDescent="0.25">
      <c r="B188" s="35" t="s">
        <v>110</v>
      </c>
      <c r="C188" t="s">
        <v>109</v>
      </c>
      <c r="D188" t="s">
        <v>487</v>
      </c>
      <c r="E188" t="s">
        <v>468</v>
      </c>
    </row>
    <row r="189" spans="2:5" x14ac:dyDescent="0.25">
      <c r="B189" s="35" t="s">
        <v>108</v>
      </c>
      <c r="C189" t="s">
        <v>106</v>
      </c>
      <c r="D189" t="s">
        <v>487</v>
      </c>
      <c r="E189" t="s">
        <v>468</v>
      </c>
    </row>
    <row r="190" spans="2:5" x14ac:dyDescent="0.25">
      <c r="B190" s="35" t="s">
        <v>107</v>
      </c>
      <c r="C190" t="s">
        <v>106</v>
      </c>
      <c r="D190" t="s">
        <v>487</v>
      </c>
      <c r="E190" t="s">
        <v>468</v>
      </c>
    </row>
    <row r="191" spans="2:5" x14ac:dyDescent="0.25">
      <c r="B191" s="35" t="s">
        <v>105</v>
      </c>
      <c r="C191" t="s">
        <v>104</v>
      </c>
      <c r="D191" t="s">
        <v>480</v>
      </c>
      <c r="E191" t="s">
        <v>468</v>
      </c>
    </row>
    <row r="192" spans="2:5" x14ac:dyDescent="0.25">
      <c r="B192" s="35" t="s">
        <v>103</v>
      </c>
      <c r="C192" t="s">
        <v>102</v>
      </c>
      <c r="D192" t="s">
        <v>480</v>
      </c>
      <c r="E192" t="s">
        <v>468</v>
      </c>
    </row>
    <row r="193" spans="2:5" x14ac:dyDescent="0.25">
      <c r="B193" s="35" t="s">
        <v>101</v>
      </c>
      <c r="C193" t="s">
        <v>100</v>
      </c>
      <c r="D193" t="s">
        <v>480</v>
      </c>
      <c r="E193" t="s">
        <v>468</v>
      </c>
    </row>
    <row r="194" spans="2:5" x14ac:dyDescent="0.25">
      <c r="B194" s="35" t="s">
        <v>99</v>
      </c>
      <c r="C194" t="s">
        <v>98</v>
      </c>
      <c r="D194" t="s">
        <v>483</v>
      </c>
      <c r="E194" t="s">
        <v>468</v>
      </c>
    </row>
    <row r="195" spans="2:5" x14ac:dyDescent="0.25">
      <c r="B195" s="35" t="s">
        <v>97</v>
      </c>
      <c r="C195" t="s">
        <v>96</v>
      </c>
      <c r="D195" t="s">
        <v>489</v>
      </c>
      <c r="E195" t="s">
        <v>468</v>
      </c>
    </row>
    <row r="196" spans="2:5" x14ac:dyDescent="0.25">
      <c r="B196" s="35" t="s">
        <v>95</v>
      </c>
      <c r="C196" t="s">
        <v>94</v>
      </c>
      <c r="D196" t="s">
        <v>489</v>
      </c>
      <c r="E196" t="s">
        <v>468</v>
      </c>
    </row>
    <row r="197" spans="2:5" x14ac:dyDescent="0.25">
      <c r="B197" s="35" t="s">
        <v>81</v>
      </c>
      <c r="C197" t="s">
        <v>80</v>
      </c>
      <c r="D197" t="s">
        <v>492</v>
      </c>
      <c r="E197" t="s">
        <v>470</v>
      </c>
    </row>
    <row r="198" spans="2:5" x14ac:dyDescent="0.25">
      <c r="B198" s="35" t="s">
        <v>79</v>
      </c>
      <c r="C198" t="s">
        <v>78</v>
      </c>
      <c r="D198" t="s">
        <v>43</v>
      </c>
      <c r="E198" t="s">
        <v>470</v>
      </c>
    </row>
    <row r="199" spans="2:5" x14ac:dyDescent="0.25">
      <c r="B199" s="35" t="s">
        <v>77</v>
      </c>
      <c r="C199" t="s">
        <v>76</v>
      </c>
      <c r="D199" t="s">
        <v>493</v>
      </c>
      <c r="E199" t="s">
        <v>470</v>
      </c>
    </row>
    <row r="200" spans="2:5" x14ac:dyDescent="0.25">
      <c r="B200" s="35" t="s">
        <v>75</v>
      </c>
      <c r="C200" t="s">
        <v>74</v>
      </c>
      <c r="D200" t="s">
        <v>470</v>
      </c>
      <c r="E200" t="s">
        <v>470</v>
      </c>
    </row>
    <row r="201" spans="2:5" x14ac:dyDescent="0.25">
      <c r="B201" s="35" t="s">
        <v>73</v>
      </c>
      <c r="C201" t="s">
        <v>72</v>
      </c>
      <c r="D201" t="s">
        <v>470</v>
      </c>
      <c r="E201" t="s">
        <v>470</v>
      </c>
    </row>
    <row r="202" spans="2:5" x14ac:dyDescent="0.25">
      <c r="B202" s="35" t="s">
        <v>93</v>
      </c>
      <c r="C202" t="s">
        <v>92</v>
      </c>
      <c r="D202" t="s">
        <v>44</v>
      </c>
      <c r="E202" t="s">
        <v>468</v>
      </c>
    </row>
    <row r="203" spans="2:5" x14ac:dyDescent="0.25">
      <c r="B203" s="35" t="s">
        <v>71</v>
      </c>
      <c r="C203" t="s">
        <v>70</v>
      </c>
      <c r="D203" t="s">
        <v>470</v>
      </c>
      <c r="E203" t="s">
        <v>470</v>
      </c>
    </row>
    <row r="204" spans="2:5" x14ac:dyDescent="0.25">
      <c r="B204" s="35" t="s">
        <v>69</v>
      </c>
      <c r="C204" t="s">
        <v>68</v>
      </c>
      <c r="D204" t="s">
        <v>470</v>
      </c>
      <c r="E204" t="s">
        <v>470</v>
      </c>
    </row>
    <row r="205" spans="2:5" x14ac:dyDescent="0.25">
      <c r="B205" s="35" t="s">
        <v>67</v>
      </c>
      <c r="C205" t="s">
        <v>66</v>
      </c>
      <c r="D205" t="s">
        <v>470</v>
      </c>
      <c r="E205" t="s">
        <v>470</v>
      </c>
    </row>
    <row r="206" spans="2:5" x14ac:dyDescent="0.25">
      <c r="B206" s="35" t="s">
        <v>65</v>
      </c>
      <c r="C206" t="s">
        <v>64</v>
      </c>
      <c r="D206" t="s">
        <v>494</v>
      </c>
      <c r="E206" t="s">
        <v>470</v>
      </c>
    </row>
    <row r="207" spans="2:5" x14ac:dyDescent="0.25">
      <c r="B207" s="35" t="s">
        <v>58</v>
      </c>
      <c r="C207" t="s">
        <v>57</v>
      </c>
      <c r="D207" t="s">
        <v>484</v>
      </c>
      <c r="E207" t="s">
        <v>470</v>
      </c>
    </row>
    <row r="208" spans="2:5" x14ac:dyDescent="0.25">
      <c r="B208" s="35" t="s">
        <v>56</v>
      </c>
      <c r="C208" t="s">
        <v>55</v>
      </c>
      <c r="D208" t="s">
        <v>484</v>
      </c>
      <c r="E208" t="s">
        <v>470</v>
      </c>
    </row>
    <row r="209" spans="2:5" x14ac:dyDescent="0.25">
      <c r="B209" s="35" t="s">
        <v>54</v>
      </c>
      <c r="C209" t="s">
        <v>53</v>
      </c>
      <c r="D209" t="s">
        <v>484</v>
      </c>
      <c r="E209" t="s">
        <v>470</v>
      </c>
    </row>
    <row r="210" spans="2:5" x14ac:dyDescent="0.25">
      <c r="B210" s="35" t="s">
        <v>63</v>
      </c>
      <c r="C210" t="s">
        <v>62</v>
      </c>
      <c r="D210" t="s">
        <v>470</v>
      </c>
      <c r="E210" t="s">
        <v>470</v>
      </c>
    </row>
    <row r="211" spans="2:5" x14ac:dyDescent="0.25">
      <c r="B211" s="35" t="s">
        <v>323</v>
      </c>
      <c r="C211" t="s">
        <v>322</v>
      </c>
      <c r="D211" t="s">
        <v>475</v>
      </c>
      <c r="E211" t="s">
        <v>466</v>
      </c>
    </row>
    <row r="212" spans="2:5" x14ac:dyDescent="0.25">
      <c r="B212" s="35" t="s">
        <v>172</v>
      </c>
      <c r="C212" t="s">
        <v>171</v>
      </c>
      <c r="D212" t="s">
        <v>481</v>
      </c>
      <c r="E212" t="s">
        <v>469</v>
      </c>
    </row>
    <row r="213" spans="2:5" x14ac:dyDescent="0.25">
      <c r="B213" s="35" t="s">
        <v>91</v>
      </c>
      <c r="C213" t="s">
        <v>90</v>
      </c>
      <c r="D213" t="s">
        <v>489</v>
      </c>
      <c r="E213" t="s">
        <v>468</v>
      </c>
    </row>
    <row r="214" spans="2:5" x14ac:dyDescent="0.25">
      <c r="B214" s="35" t="s">
        <v>89</v>
      </c>
      <c r="C214" t="s">
        <v>88</v>
      </c>
      <c r="D214" t="s">
        <v>489</v>
      </c>
      <c r="E214" t="s">
        <v>468</v>
      </c>
    </row>
    <row r="215" spans="2:5" x14ac:dyDescent="0.25">
      <c r="B215"/>
    </row>
    <row r="216" spans="2:5" x14ac:dyDescent="0.25">
      <c r="B216"/>
    </row>
    <row r="217" spans="2:5" x14ac:dyDescent="0.25">
      <c r="B217"/>
    </row>
    <row r="218" spans="2:5" x14ac:dyDescent="0.25">
      <c r="B218"/>
    </row>
    <row r="219" spans="2:5" x14ac:dyDescent="0.25">
      <c r="B219"/>
    </row>
    <row r="220" spans="2:5" x14ac:dyDescent="0.25">
      <c r="B220"/>
    </row>
    <row r="221" spans="2:5" x14ac:dyDescent="0.25">
      <c r="B221"/>
    </row>
    <row r="222" spans="2:5" x14ac:dyDescent="0.25">
      <c r="B222"/>
    </row>
    <row r="223" spans="2:5" x14ac:dyDescent="0.25">
      <c r="B223"/>
    </row>
    <row r="224" spans="2:5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</sheetData>
  <autoFilter ref="B5:E5" xr:uid="{DCEE8CB6-F276-4014-AE4B-3F802E9D0882}">
    <sortState xmlns:xlrd2="http://schemas.microsoft.com/office/spreadsheetml/2017/richdata2" ref="B6:E214">
      <sortCondition ref="B5"/>
    </sortState>
  </autoFilter>
  <pageMargins left="0.7" right="0.7" top="0.75" bottom="0.75" header="0.3" footer="0.3"/>
  <pageSetup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AF25-0CDF-4FF7-8357-B9E69B444457}">
  <dimension ref="B1:J851"/>
  <sheetViews>
    <sheetView showGridLines="0" view="pageBreakPreview" zoomScale="85" zoomScaleNormal="100" zoomScaleSheetLayoutView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RowHeight="12.5" x14ac:dyDescent="0.25"/>
  <cols>
    <col min="1" max="1" width="2.6328125" customWidth="1"/>
    <col min="2" max="2" width="27.81640625" style="40" bestFit="1" customWidth="1"/>
    <col min="3" max="3" width="34.90625" bestFit="1" customWidth="1"/>
    <col min="4" max="4" width="34.90625" customWidth="1"/>
    <col min="5" max="5" width="22.90625" bestFit="1" customWidth="1"/>
    <col min="6" max="10" width="12.6328125" customWidth="1"/>
  </cols>
  <sheetData>
    <row r="1" spans="2:10" ht="13" x14ac:dyDescent="0.3">
      <c r="B1" s="36" t="s">
        <v>462</v>
      </c>
    </row>
    <row r="2" spans="2:10" ht="13" x14ac:dyDescent="0.3">
      <c r="B2" s="41" t="s">
        <v>495</v>
      </c>
      <c r="C2" s="42"/>
      <c r="D2" s="42"/>
      <c r="E2" s="42"/>
      <c r="F2" s="42"/>
      <c r="G2" s="42"/>
      <c r="H2" s="42"/>
      <c r="I2" s="42"/>
      <c r="J2" s="42"/>
    </row>
    <row r="3" spans="2:10" ht="13" x14ac:dyDescent="0.3">
      <c r="B3" s="37"/>
    </row>
    <row r="4" spans="2:10" ht="16" x14ac:dyDescent="0.6">
      <c r="B4" s="38" t="s">
        <v>463</v>
      </c>
      <c r="C4" s="39" t="s">
        <v>464</v>
      </c>
      <c r="D4" s="39" t="s">
        <v>471</v>
      </c>
      <c r="E4" s="39" t="s">
        <v>465</v>
      </c>
      <c r="F4" s="43">
        <v>44561</v>
      </c>
      <c r="G4" s="43">
        <f>EOMONTH(F4,12)</f>
        <v>44926</v>
      </c>
      <c r="H4" s="43">
        <f t="shared" ref="H4:I4" si="0">EOMONTH(G4,12)</f>
        <v>45291</v>
      </c>
      <c r="I4" s="43">
        <f t="shared" si="0"/>
        <v>45657</v>
      </c>
      <c r="J4" s="43">
        <f>EOMONTH(I4,9)</f>
        <v>45930</v>
      </c>
    </row>
    <row r="5" spans="2:10" x14ac:dyDescent="0.25">
      <c r="B5" s="35" t="s">
        <v>334</v>
      </c>
      <c r="C5" t="s">
        <v>332</v>
      </c>
      <c r="D5" t="str">
        <f>_xlfn.XLOOKUP(B5,'Chart of Accounts'!B:B,'Chart of Accounts'!D:D)</f>
        <v>Product Sales</v>
      </c>
      <c r="E5" t="s">
        <v>466</v>
      </c>
      <c r="F5" s="45">
        <f>SUMIFS('2021 IS'!C:C,'2021 IS'!A:A,B5)</f>
        <v>0</v>
      </c>
      <c r="G5" s="45">
        <f>SUMIFS('2022 IS'!C:C,'2022 IS'!A:A,B5)</f>
        <v>0</v>
      </c>
      <c r="H5" s="45">
        <f>SUMIFS('2023 IS'!C:C,'2023 IS'!A:A,B5)</f>
        <v>0</v>
      </c>
      <c r="I5" s="45">
        <f>SUMIFS('2024 IS'!C:C,'2024 IS'!A:A,B5)</f>
        <v>0</v>
      </c>
      <c r="J5" s="45">
        <f>SUMIFS('2025 IS'!C:C,'2025 IS'!A:A,B5)</f>
        <v>0</v>
      </c>
    </row>
    <row r="6" spans="2:10" x14ac:dyDescent="0.25">
      <c r="B6" s="35" t="s">
        <v>333</v>
      </c>
      <c r="C6" t="s">
        <v>332</v>
      </c>
      <c r="D6" t="str">
        <f>_xlfn.XLOOKUP(B6,'Chart of Accounts'!B:B,'Chart of Accounts'!D:D)</f>
        <v>Product Sales</v>
      </c>
      <c r="E6" t="s">
        <v>466</v>
      </c>
      <c r="F6" s="45">
        <f>SUMIFS('2021 IS'!C:C,'2021 IS'!A:A,B6)</f>
        <v>1125166.1499999999</v>
      </c>
      <c r="G6" s="45">
        <f>SUMIFS('2022 IS'!C:C,'2022 IS'!A:A,B6)</f>
        <v>515796.36</v>
      </c>
      <c r="H6" s="45">
        <f>SUMIFS('2023 IS'!C:C,'2023 IS'!A:A,B6)</f>
        <v>1245336.3999999999</v>
      </c>
      <c r="I6" s="45">
        <f>SUMIFS('2024 IS'!C:C,'2024 IS'!A:A,B6)</f>
        <v>937459.54</v>
      </c>
      <c r="J6" s="45">
        <f>SUMIFS('2025 IS'!C:C,'2025 IS'!A:A,B6)</f>
        <v>392663.3</v>
      </c>
    </row>
    <row r="7" spans="2:10" x14ac:dyDescent="0.25">
      <c r="B7" s="35" t="s">
        <v>331</v>
      </c>
      <c r="C7" t="s">
        <v>330</v>
      </c>
      <c r="D7" t="str">
        <f>_xlfn.XLOOKUP(B7,'Chart of Accounts'!B:B,'Chart of Accounts'!D:D)</f>
        <v>Other Income</v>
      </c>
      <c r="E7" t="s">
        <v>466</v>
      </c>
      <c r="F7" s="45">
        <f>SUMIFS('2021 IS'!C:C,'2021 IS'!A:A,B7)</f>
        <v>0</v>
      </c>
      <c r="G7" s="45">
        <f>SUMIFS('2022 IS'!C:C,'2022 IS'!A:A,B7)</f>
        <v>0</v>
      </c>
      <c r="H7" s="45">
        <f>SUMIFS('2023 IS'!C:C,'2023 IS'!A:A,B7)</f>
        <v>0</v>
      </c>
      <c r="I7" s="45">
        <f>SUMIFS('2024 IS'!C:C,'2024 IS'!A:A,B7)</f>
        <v>0</v>
      </c>
      <c r="J7" s="45">
        <f>SUMIFS('2025 IS'!C:C,'2025 IS'!A:A,B7)</f>
        <v>0</v>
      </c>
    </row>
    <row r="8" spans="2:10" x14ac:dyDescent="0.25">
      <c r="B8" s="35" t="s">
        <v>329</v>
      </c>
      <c r="C8" t="s">
        <v>322</v>
      </c>
      <c r="D8" t="str">
        <f>_xlfn.XLOOKUP(B8,'Chart of Accounts'!B:B,'Chart of Accounts'!D:D)</f>
        <v>Other Income</v>
      </c>
      <c r="E8" t="s">
        <v>466</v>
      </c>
      <c r="F8" s="45">
        <f>SUMIFS('2021 IS'!C:C,'2021 IS'!A:A,B8)</f>
        <v>0</v>
      </c>
      <c r="G8" s="45">
        <f>SUMIFS('2022 IS'!C:C,'2022 IS'!A:A,B8)</f>
        <v>0</v>
      </c>
      <c r="H8" s="45">
        <f>SUMIFS('2023 IS'!C:C,'2023 IS'!A:A,B8)</f>
        <v>0</v>
      </c>
      <c r="I8" s="45">
        <f>SUMIFS('2024 IS'!C:C,'2024 IS'!A:A,B8)</f>
        <v>0</v>
      </c>
      <c r="J8" s="45">
        <f>SUMIFS('2025 IS'!C:C,'2025 IS'!A:A,B8)</f>
        <v>0</v>
      </c>
    </row>
    <row r="9" spans="2:10" x14ac:dyDescent="0.25">
      <c r="B9" s="35" t="s">
        <v>328</v>
      </c>
      <c r="C9" t="s">
        <v>322</v>
      </c>
      <c r="D9" t="str">
        <f>_xlfn.XLOOKUP(B9,'Chart of Accounts'!B:B,'Chart of Accounts'!D:D)</f>
        <v>Other Income</v>
      </c>
      <c r="E9" t="s">
        <v>466</v>
      </c>
      <c r="F9" s="45">
        <f>SUMIFS('2021 IS'!C:C,'2021 IS'!A:A,B9)</f>
        <v>6300</v>
      </c>
      <c r="G9" s="45">
        <f>SUMIFS('2022 IS'!C:C,'2022 IS'!A:A,B9)</f>
        <v>0</v>
      </c>
      <c r="H9" s="45">
        <f>SUMIFS('2023 IS'!C:C,'2023 IS'!A:A,B9)</f>
        <v>-0.71</v>
      </c>
      <c r="I9" s="45">
        <f>SUMIFS('2024 IS'!C:C,'2024 IS'!A:A,B9)</f>
        <v>-102</v>
      </c>
      <c r="J9" s="45">
        <f>SUMIFS('2025 IS'!C:C,'2025 IS'!A:A,B9)</f>
        <v>0</v>
      </c>
    </row>
    <row r="10" spans="2:10" x14ac:dyDescent="0.25">
      <c r="B10" s="35" t="s">
        <v>327</v>
      </c>
      <c r="C10" t="s">
        <v>326</v>
      </c>
      <c r="D10" t="str">
        <f>_xlfn.XLOOKUP(B10,'Chart of Accounts'!B:B,'Chart of Accounts'!D:D)</f>
        <v>Other Income</v>
      </c>
      <c r="E10" t="s">
        <v>466</v>
      </c>
      <c r="F10" s="45">
        <f>SUMIFS('2021 IS'!C:C,'2021 IS'!A:A,B10)</f>
        <v>675</v>
      </c>
      <c r="G10" s="45">
        <f>SUMIFS('2022 IS'!C:C,'2022 IS'!A:A,B10)</f>
        <v>510</v>
      </c>
      <c r="H10" s="45">
        <f>SUMIFS('2023 IS'!C:C,'2023 IS'!A:A,B10)</f>
        <v>5500</v>
      </c>
      <c r="I10" s="45">
        <f>SUMIFS('2024 IS'!C:C,'2024 IS'!A:A,B10)</f>
        <v>2300</v>
      </c>
      <c r="J10" s="45">
        <f>SUMIFS('2025 IS'!C:C,'2025 IS'!A:A,B10)</f>
        <v>300</v>
      </c>
    </row>
    <row r="11" spans="2:10" x14ac:dyDescent="0.25">
      <c r="B11" s="35" t="s">
        <v>325</v>
      </c>
      <c r="C11" t="s">
        <v>324</v>
      </c>
      <c r="D11" t="str">
        <f>_xlfn.XLOOKUP(B11,'Chart of Accounts'!B:B,'Chart of Accounts'!D:D)</f>
        <v>Engineering Services</v>
      </c>
      <c r="E11" t="s">
        <v>466</v>
      </c>
      <c r="F11" s="45">
        <f>SUMIFS('2021 IS'!C:C,'2021 IS'!A:A,B11)</f>
        <v>0</v>
      </c>
      <c r="G11" s="45">
        <f>SUMIFS('2022 IS'!C:C,'2022 IS'!A:A,B11)</f>
        <v>0</v>
      </c>
      <c r="H11" s="45">
        <f>SUMIFS('2023 IS'!C:C,'2023 IS'!A:A,B11)</f>
        <v>0</v>
      </c>
      <c r="I11" s="45">
        <f>SUMIFS('2024 IS'!C:C,'2024 IS'!A:A,B11)</f>
        <v>364232</v>
      </c>
      <c r="J11" s="45">
        <f>SUMIFS('2025 IS'!C:C,'2025 IS'!A:A,B11)</f>
        <v>0</v>
      </c>
    </row>
    <row r="12" spans="2:10" x14ac:dyDescent="0.25">
      <c r="B12" s="35" t="s">
        <v>323</v>
      </c>
      <c r="C12" t="s">
        <v>322</v>
      </c>
      <c r="D12" t="str">
        <f>_xlfn.XLOOKUP(B12,'Chart of Accounts'!B:B,'Chart of Accounts'!D:D)</f>
        <v>Other Income</v>
      </c>
      <c r="E12" t="s">
        <v>466</v>
      </c>
      <c r="F12" s="45">
        <f>SUMIFS('2021 IS'!C:C,'2021 IS'!A:A,B12)</f>
        <v>0</v>
      </c>
      <c r="G12" s="45">
        <f>SUMIFS('2022 IS'!C:C,'2022 IS'!A:A,B12)</f>
        <v>0</v>
      </c>
      <c r="H12" s="45">
        <f>SUMIFS('2023 IS'!C:C,'2023 IS'!A:A,B12)</f>
        <v>0</v>
      </c>
      <c r="I12" s="45">
        <f>SUMIFS('2024 IS'!C:C,'2024 IS'!A:A,B12)</f>
        <v>0</v>
      </c>
      <c r="J12" s="45">
        <f>SUMIFS('2025 IS'!C:C,'2025 IS'!A:A,B12)</f>
        <v>0</v>
      </c>
    </row>
    <row r="13" spans="2:10" x14ac:dyDescent="0.25">
      <c r="B13" s="35" t="s">
        <v>319</v>
      </c>
      <c r="C13" t="s">
        <v>318</v>
      </c>
      <c r="D13" t="str">
        <f>_xlfn.XLOOKUP(B13,'Chart of Accounts'!B:B,'Chart of Accounts'!D:D)</f>
        <v xml:space="preserve">Materials </v>
      </c>
      <c r="E13" t="s">
        <v>467</v>
      </c>
      <c r="F13" s="45">
        <f>SUMIFS('2021 IS'!C:C,'2021 IS'!A:A,B13)</f>
        <v>189511.51</v>
      </c>
      <c r="G13" s="45">
        <f>SUMIFS('2022 IS'!C:C,'2022 IS'!A:A,B13)</f>
        <v>439243.06</v>
      </c>
      <c r="H13" s="45">
        <f>SUMIFS('2023 IS'!C:C,'2023 IS'!A:A,B13)</f>
        <v>76639.33</v>
      </c>
      <c r="I13" s="45">
        <f>SUMIFS('2024 IS'!C:C,'2024 IS'!A:A,B13)</f>
        <v>-209294.31</v>
      </c>
      <c r="J13" s="45">
        <f>SUMIFS('2025 IS'!C:C,'2025 IS'!A:A,B13)</f>
        <v>44925.16</v>
      </c>
    </row>
    <row r="14" spans="2:10" x14ac:dyDescent="0.25">
      <c r="B14" s="35" t="s">
        <v>317</v>
      </c>
      <c r="C14" t="s">
        <v>316</v>
      </c>
      <c r="D14" t="str">
        <f>_xlfn.XLOOKUP(B14,'Chart of Accounts'!B:B,'Chart of Accounts'!D:D)</f>
        <v>Salaries and Wages - Direct</v>
      </c>
      <c r="E14" t="s">
        <v>467</v>
      </c>
      <c r="F14" s="45">
        <f>SUMIFS('2021 IS'!C:C,'2021 IS'!A:A,B14)</f>
        <v>29407.01</v>
      </c>
      <c r="G14" s="45">
        <f>SUMIFS('2022 IS'!C:C,'2022 IS'!A:A,B14)</f>
        <v>30516.799999999999</v>
      </c>
      <c r="H14" s="45">
        <f>SUMIFS('2023 IS'!C:C,'2023 IS'!A:A,B14)</f>
        <v>52120.78</v>
      </c>
      <c r="I14" s="45">
        <f>SUMIFS('2024 IS'!C:C,'2024 IS'!A:A,B14)</f>
        <v>29716.65</v>
      </c>
      <c r="J14" s="45">
        <f>SUMIFS('2025 IS'!C:C,'2025 IS'!A:A,B14)</f>
        <v>35372.67</v>
      </c>
    </row>
    <row r="15" spans="2:10" x14ac:dyDescent="0.25">
      <c r="B15" s="35" t="s">
        <v>315</v>
      </c>
      <c r="C15" t="s">
        <v>314</v>
      </c>
      <c r="D15" t="str">
        <f>_xlfn.XLOOKUP(B15,'Chart of Accounts'!B:B,'Chart of Accounts'!D:D)</f>
        <v>Overhead</v>
      </c>
      <c r="E15" t="s">
        <v>467</v>
      </c>
      <c r="F15" s="45">
        <f>SUMIFS('2021 IS'!C:C,'2021 IS'!A:A,B15)</f>
        <v>44154.87</v>
      </c>
      <c r="G15" s="45">
        <f>SUMIFS('2022 IS'!C:C,'2022 IS'!A:A,B15)</f>
        <v>45772.59</v>
      </c>
      <c r="H15" s="45">
        <f>SUMIFS('2023 IS'!C:C,'2023 IS'!A:A,B15)</f>
        <v>78436.09</v>
      </c>
      <c r="I15" s="45">
        <f>SUMIFS('2024 IS'!C:C,'2024 IS'!A:A,B15)</f>
        <v>44657.41</v>
      </c>
      <c r="J15" s="45">
        <f>SUMIFS('2025 IS'!C:C,'2025 IS'!A:A,B15)</f>
        <v>126933.91</v>
      </c>
    </row>
    <row r="16" spans="2:10" x14ac:dyDescent="0.25">
      <c r="B16" s="35" t="s">
        <v>313</v>
      </c>
      <c r="C16" t="s">
        <v>312</v>
      </c>
      <c r="D16" t="str">
        <f>_xlfn.XLOOKUP(B16,'Chart of Accounts'!B:B,'Chart of Accounts'!D:D)</f>
        <v>Outside Services</v>
      </c>
      <c r="E16" t="s">
        <v>467</v>
      </c>
      <c r="F16" s="45">
        <f>SUMIFS('2021 IS'!C:C,'2021 IS'!A:A,B16)</f>
        <v>13578.35</v>
      </c>
      <c r="G16" s="45">
        <f>SUMIFS('2022 IS'!C:C,'2022 IS'!A:A,B16)</f>
        <v>6833.06</v>
      </c>
      <c r="H16" s="45">
        <f>SUMIFS('2023 IS'!C:C,'2023 IS'!A:A,B16)</f>
        <v>22493.41</v>
      </c>
      <c r="I16" s="45">
        <f>SUMIFS('2024 IS'!C:C,'2024 IS'!A:A,B16)</f>
        <v>9512.15</v>
      </c>
      <c r="J16" s="45">
        <f>SUMIFS('2025 IS'!C:C,'2025 IS'!A:A,B16)</f>
        <v>16237.04</v>
      </c>
    </row>
    <row r="17" spans="2:10" x14ac:dyDescent="0.25">
      <c r="B17" s="35" t="s">
        <v>311</v>
      </c>
      <c r="C17" t="s">
        <v>310</v>
      </c>
      <c r="D17" t="str">
        <f>_xlfn.XLOOKUP(B17,'Chart of Accounts'!B:B,'Chart of Accounts'!D:D)</f>
        <v>Other COGs</v>
      </c>
      <c r="E17" t="s">
        <v>467</v>
      </c>
      <c r="F17" s="45">
        <f>SUMIFS('2021 IS'!C:C,'2021 IS'!A:A,B17)</f>
        <v>0</v>
      </c>
      <c r="G17" s="45">
        <f>SUMIFS('2022 IS'!C:C,'2022 IS'!A:A,B17)</f>
        <v>0</v>
      </c>
      <c r="H17" s="45">
        <f>SUMIFS('2023 IS'!C:C,'2023 IS'!A:A,B17)</f>
        <v>0</v>
      </c>
      <c r="I17" s="45">
        <f>SUMIFS('2024 IS'!C:C,'2024 IS'!A:A,B17)</f>
        <v>40776</v>
      </c>
      <c r="J17" s="45">
        <f>SUMIFS('2025 IS'!C:C,'2025 IS'!A:A,B17)</f>
        <v>0</v>
      </c>
    </row>
    <row r="18" spans="2:10" x14ac:dyDescent="0.25">
      <c r="B18" s="35" t="s">
        <v>309</v>
      </c>
      <c r="C18" t="s">
        <v>308</v>
      </c>
      <c r="D18" t="str">
        <f>_xlfn.XLOOKUP(B18,'Chart of Accounts'!B:B,'Chart of Accounts'!D:D)</f>
        <v>Other COGs</v>
      </c>
      <c r="E18" t="s">
        <v>467</v>
      </c>
      <c r="F18" s="45">
        <f>SUMIFS('2021 IS'!C:C,'2021 IS'!A:A,B18)</f>
        <v>-356.64</v>
      </c>
      <c r="G18" s="45">
        <f>SUMIFS('2022 IS'!C:C,'2022 IS'!A:A,B18)</f>
        <v>-777.09</v>
      </c>
      <c r="H18" s="45">
        <f>SUMIFS('2023 IS'!C:C,'2023 IS'!A:A,B18)</f>
        <v>0</v>
      </c>
      <c r="I18" s="45">
        <f>SUMIFS('2024 IS'!C:C,'2024 IS'!A:A,B18)</f>
        <v>0</v>
      </c>
      <c r="J18" s="45">
        <f>SUMIFS('2025 IS'!C:C,'2025 IS'!A:A,B18)</f>
        <v>-411.5</v>
      </c>
    </row>
    <row r="19" spans="2:10" x14ac:dyDescent="0.25">
      <c r="B19" s="35" t="s">
        <v>307</v>
      </c>
      <c r="C19" t="s">
        <v>306</v>
      </c>
      <c r="D19" t="str">
        <f>_xlfn.XLOOKUP(B19,'Chart of Accounts'!B:B,'Chart of Accounts'!D:D)</f>
        <v>MFG Variance</v>
      </c>
      <c r="E19" t="s">
        <v>467</v>
      </c>
      <c r="F19" s="45">
        <f>SUMIFS('2021 IS'!C:C,'2021 IS'!A:A,B19)</f>
        <v>42577.59</v>
      </c>
      <c r="G19" s="45">
        <f>SUMIFS('2022 IS'!C:C,'2022 IS'!A:A,B19)</f>
        <v>-232.1</v>
      </c>
      <c r="H19" s="45">
        <f>SUMIFS('2023 IS'!C:C,'2023 IS'!A:A,B19)</f>
        <v>1416.88</v>
      </c>
      <c r="I19" s="45">
        <f>SUMIFS('2024 IS'!C:C,'2024 IS'!A:A,B19)</f>
        <v>670.34</v>
      </c>
      <c r="J19" s="45">
        <f>SUMIFS('2025 IS'!C:C,'2025 IS'!A:A,B19)</f>
        <v>22291.02</v>
      </c>
    </row>
    <row r="20" spans="2:10" x14ac:dyDescent="0.25">
      <c r="B20" s="35" t="s">
        <v>305</v>
      </c>
      <c r="C20" t="s">
        <v>304</v>
      </c>
      <c r="D20" t="str">
        <f>_xlfn.XLOOKUP(B20,'Chart of Accounts'!B:B,'Chart of Accounts'!D:D)</f>
        <v>Other COGs</v>
      </c>
      <c r="E20" t="s">
        <v>467</v>
      </c>
      <c r="F20" s="45">
        <f>SUMIFS('2021 IS'!C:C,'2021 IS'!A:A,B20)</f>
        <v>3004.8</v>
      </c>
      <c r="G20" s="45">
        <f>SUMIFS('2022 IS'!C:C,'2022 IS'!A:A,B20)</f>
        <v>1902.39</v>
      </c>
      <c r="H20" s="45">
        <f>SUMIFS('2023 IS'!C:C,'2023 IS'!A:A,B20)</f>
        <v>5414.97</v>
      </c>
      <c r="I20" s="45">
        <f>SUMIFS('2024 IS'!C:C,'2024 IS'!A:A,B20)</f>
        <v>3894.66</v>
      </c>
      <c r="J20" s="45">
        <f>SUMIFS('2025 IS'!C:C,'2025 IS'!A:A,B20)</f>
        <v>1708.76</v>
      </c>
    </row>
    <row r="21" spans="2:10" x14ac:dyDescent="0.25">
      <c r="B21" s="35" t="s">
        <v>303</v>
      </c>
      <c r="C21" t="s">
        <v>302</v>
      </c>
      <c r="D21" t="str">
        <f>_xlfn.XLOOKUP(B21,'Chart of Accounts'!B:B,'Chart of Accounts'!D:D)</f>
        <v>Other COGs</v>
      </c>
      <c r="E21" t="s">
        <v>467</v>
      </c>
      <c r="F21" s="45">
        <f>SUMIFS('2021 IS'!C:C,'2021 IS'!A:A,B21)</f>
        <v>0</v>
      </c>
      <c r="G21" s="45">
        <f>SUMIFS('2022 IS'!C:C,'2022 IS'!A:A,B21)</f>
        <v>0</v>
      </c>
      <c r="H21" s="45">
        <f>SUMIFS('2023 IS'!C:C,'2023 IS'!A:A,B21)</f>
        <v>0</v>
      </c>
      <c r="I21" s="45">
        <f>SUMIFS('2024 IS'!C:C,'2024 IS'!A:A,B21)</f>
        <v>2790.63</v>
      </c>
      <c r="J21" s="45">
        <f>SUMIFS('2025 IS'!C:C,'2025 IS'!A:A,B21)</f>
        <v>2830.61</v>
      </c>
    </row>
    <row r="22" spans="2:10" x14ac:dyDescent="0.25">
      <c r="B22" s="35" t="s">
        <v>301</v>
      </c>
      <c r="C22" t="s">
        <v>300</v>
      </c>
      <c r="D22" t="str">
        <f>_xlfn.XLOOKUP(B22,'Chart of Accounts'!B:B,'Chart of Accounts'!D:D)</f>
        <v>Other COGs</v>
      </c>
      <c r="E22" t="s">
        <v>467</v>
      </c>
      <c r="F22" s="45">
        <f>SUMIFS('2021 IS'!C:C,'2021 IS'!A:A,B22)</f>
        <v>92.21</v>
      </c>
      <c r="G22" s="45">
        <f>SUMIFS('2022 IS'!C:C,'2022 IS'!A:A,B22)</f>
        <v>0</v>
      </c>
      <c r="H22" s="45">
        <f>SUMIFS('2023 IS'!C:C,'2023 IS'!A:A,B22)</f>
        <v>0</v>
      </c>
      <c r="I22" s="45">
        <f>SUMIFS('2024 IS'!C:C,'2024 IS'!A:A,B22)</f>
        <v>393.78</v>
      </c>
      <c r="J22" s="45">
        <f>SUMIFS('2025 IS'!C:C,'2025 IS'!A:A,B22)</f>
        <v>298.75</v>
      </c>
    </row>
    <row r="23" spans="2:10" x14ac:dyDescent="0.25">
      <c r="B23" s="35" t="s">
        <v>299</v>
      </c>
      <c r="C23" t="s">
        <v>298</v>
      </c>
      <c r="D23" t="str">
        <f>_xlfn.XLOOKUP(B23,'Chart of Accounts'!B:B,'Chart of Accounts'!D:D)</f>
        <v>Salaries and Wages - Direct</v>
      </c>
      <c r="E23" t="s">
        <v>467</v>
      </c>
      <c r="F23" s="45">
        <f>SUMIFS('2021 IS'!C:C,'2021 IS'!A:A,B23)</f>
        <v>-38068.43</v>
      </c>
      <c r="G23" s="45">
        <f>SUMIFS('2022 IS'!C:C,'2022 IS'!A:A,B23)</f>
        <v>-15951.04</v>
      </c>
      <c r="H23" s="45">
        <f>SUMIFS('2023 IS'!C:C,'2023 IS'!A:A,B23)</f>
        <v>-18648.88</v>
      </c>
      <c r="I23" s="45">
        <f>SUMIFS('2024 IS'!C:C,'2024 IS'!A:A,B23)</f>
        <v>-30009.32</v>
      </c>
      <c r="J23" s="45">
        <f>SUMIFS('2025 IS'!C:C,'2025 IS'!A:A,B23)</f>
        <v>-57527.86</v>
      </c>
    </row>
    <row r="24" spans="2:10" x14ac:dyDescent="0.25">
      <c r="B24" s="35" t="s">
        <v>297</v>
      </c>
      <c r="C24" t="s">
        <v>296</v>
      </c>
      <c r="D24" t="str">
        <f>_xlfn.XLOOKUP(B24,'Chart of Accounts'!B:B,'Chart of Accounts'!D:D)</f>
        <v>Overhead</v>
      </c>
      <c r="E24" t="s">
        <v>467</v>
      </c>
      <c r="F24" s="45">
        <f>SUMIFS('2021 IS'!C:C,'2021 IS'!A:A,B24)</f>
        <v>-48486.57</v>
      </c>
      <c r="G24" s="45">
        <f>SUMIFS('2022 IS'!C:C,'2022 IS'!A:A,B24)</f>
        <v>-23859.17</v>
      </c>
      <c r="H24" s="45">
        <f>SUMIFS('2023 IS'!C:C,'2023 IS'!A:A,B24)</f>
        <v>-28008.39</v>
      </c>
      <c r="I24" s="45">
        <f>SUMIFS('2024 IS'!C:C,'2024 IS'!A:A,B24)</f>
        <v>-74821.41</v>
      </c>
      <c r="J24" s="45">
        <f>SUMIFS('2025 IS'!C:C,'2025 IS'!A:A,B24)</f>
        <v>-197704.17</v>
      </c>
    </row>
    <row r="25" spans="2:10" x14ac:dyDescent="0.25">
      <c r="B25" s="35" t="s">
        <v>295</v>
      </c>
      <c r="C25" t="s">
        <v>294</v>
      </c>
      <c r="D25" t="str">
        <f>_xlfn.XLOOKUP(B25,'Chart of Accounts'!B:B,'Chart of Accounts'!D:D)</f>
        <v>Salaries and Wages - Direct</v>
      </c>
      <c r="E25" t="s">
        <v>467</v>
      </c>
      <c r="F25" s="45">
        <f>SUMIFS('2021 IS'!C:C,'2021 IS'!A:A,B25)</f>
        <v>0</v>
      </c>
      <c r="G25" s="45">
        <f>SUMIFS('2022 IS'!C:C,'2022 IS'!A:A,B25)</f>
        <v>0</v>
      </c>
      <c r="H25" s="45">
        <f>SUMIFS('2023 IS'!C:C,'2023 IS'!A:A,B25)</f>
        <v>0</v>
      </c>
      <c r="I25" s="45">
        <f>SUMIFS('2024 IS'!C:C,'2024 IS'!A:A,B25)</f>
        <v>0</v>
      </c>
      <c r="J25" s="45">
        <f>SUMIFS('2025 IS'!C:C,'2025 IS'!A:A,B25)</f>
        <v>0</v>
      </c>
    </row>
    <row r="26" spans="2:10" x14ac:dyDescent="0.25">
      <c r="B26" s="35" t="s">
        <v>293</v>
      </c>
      <c r="C26" t="s">
        <v>292</v>
      </c>
      <c r="D26" t="str">
        <f>_xlfn.XLOOKUP(B26,'Chart of Accounts'!B:B,'Chart of Accounts'!D:D)</f>
        <v>Salaries and Wages - Direct</v>
      </c>
      <c r="E26" t="s">
        <v>467</v>
      </c>
      <c r="F26" s="45">
        <f>SUMIFS('2021 IS'!C:C,'2021 IS'!A:A,B26)</f>
        <v>83195.16</v>
      </c>
      <c r="G26" s="45">
        <f>SUMIFS('2022 IS'!C:C,'2022 IS'!A:A,B26)</f>
        <v>62950.18</v>
      </c>
      <c r="H26" s="45">
        <f>SUMIFS('2023 IS'!C:C,'2023 IS'!A:A,B26)</f>
        <v>74424.69</v>
      </c>
      <c r="I26" s="45">
        <f>SUMIFS('2024 IS'!C:C,'2024 IS'!A:A,B26)</f>
        <v>81745.13</v>
      </c>
      <c r="J26" s="45">
        <f>SUMIFS('2025 IS'!C:C,'2025 IS'!A:A,B26)</f>
        <v>68125.600000000006</v>
      </c>
    </row>
    <row r="27" spans="2:10" x14ac:dyDescent="0.25">
      <c r="B27" s="35" t="s">
        <v>291</v>
      </c>
      <c r="C27" t="s">
        <v>287</v>
      </c>
      <c r="D27" t="str">
        <f>_xlfn.XLOOKUP(B27,'Chart of Accounts'!B:B,'Chart of Accounts'!D:D)</f>
        <v>Salaries and Wages - Direct</v>
      </c>
      <c r="E27" t="s">
        <v>467</v>
      </c>
      <c r="F27" s="45">
        <f>SUMIFS('2021 IS'!C:C,'2021 IS'!A:A,B27)</f>
        <v>0</v>
      </c>
      <c r="G27" s="45">
        <f>SUMIFS('2022 IS'!C:C,'2022 IS'!A:A,B27)</f>
        <v>0</v>
      </c>
      <c r="H27" s="45">
        <f>SUMIFS('2023 IS'!C:C,'2023 IS'!A:A,B27)</f>
        <v>0</v>
      </c>
      <c r="I27" s="45">
        <f>SUMIFS('2024 IS'!C:C,'2024 IS'!A:A,B27)</f>
        <v>0</v>
      </c>
      <c r="J27" s="45">
        <f>SUMIFS('2025 IS'!C:C,'2025 IS'!A:A,B27)</f>
        <v>0</v>
      </c>
    </row>
    <row r="28" spans="2:10" x14ac:dyDescent="0.25">
      <c r="B28" s="35" t="s">
        <v>290</v>
      </c>
      <c r="C28" t="s">
        <v>287</v>
      </c>
      <c r="D28" t="str">
        <f>_xlfn.XLOOKUP(B28,'Chart of Accounts'!B:B,'Chart of Accounts'!D:D)</f>
        <v>Salaries and Wages - Direct</v>
      </c>
      <c r="E28" t="s">
        <v>467</v>
      </c>
      <c r="F28" s="45">
        <f>SUMIFS('2021 IS'!C:C,'2021 IS'!A:A,B28)</f>
        <v>0</v>
      </c>
      <c r="G28" s="45">
        <f>SUMIFS('2022 IS'!C:C,'2022 IS'!A:A,B28)</f>
        <v>0</v>
      </c>
      <c r="H28" s="45">
        <f>SUMIFS('2023 IS'!C:C,'2023 IS'!A:A,B28)</f>
        <v>0</v>
      </c>
      <c r="I28" s="45">
        <f>SUMIFS('2024 IS'!C:C,'2024 IS'!A:A,B28)</f>
        <v>0</v>
      </c>
      <c r="J28" s="45">
        <f>SUMIFS('2025 IS'!C:C,'2025 IS'!A:A,B28)</f>
        <v>0</v>
      </c>
    </row>
    <row r="29" spans="2:10" x14ac:dyDescent="0.25">
      <c r="B29" s="35" t="s">
        <v>289</v>
      </c>
      <c r="C29" t="s">
        <v>287</v>
      </c>
      <c r="D29" t="str">
        <f>_xlfn.XLOOKUP(B29,'Chart of Accounts'!B:B,'Chart of Accounts'!D:D)</f>
        <v>Salaries and Wages - Direct</v>
      </c>
      <c r="E29" t="s">
        <v>467</v>
      </c>
      <c r="F29" s="45">
        <f>SUMIFS('2021 IS'!C:C,'2021 IS'!A:A,B29)</f>
        <v>28281.599999999999</v>
      </c>
      <c r="G29" s="45">
        <f>SUMIFS('2022 IS'!C:C,'2022 IS'!A:A,B29)</f>
        <v>22357.84</v>
      </c>
      <c r="H29" s="45">
        <f>SUMIFS('2023 IS'!C:C,'2023 IS'!A:A,B29)</f>
        <v>23342.75</v>
      </c>
      <c r="I29" s="45">
        <f>SUMIFS('2024 IS'!C:C,'2024 IS'!A:A,B29)</f>
        <v>25958.48</v>
      </c>
      <c r="J29" s="45">
        <f>SUMIFS('2025 IS'!C:C,'2025 IS'!A:A,B29)</f>
        <v>26420.48</v>
      </c>
    </row>
    <row r="30" spans="2:10" x14ac:dyDescent="0.25">
      <c r="B30" s="35" t="s">
        <v>288</v>
      </c>
      <c r="C30" t="s">
        <v>287</v>
      </c>
      <c r="D30" t="str">
        <f>_xlfn.XLOOKUP(B30,'Chart of Accounts'!B:B,'Chart of Accounts'!D:D)</f>
        <v>Salaries and Wages - Direct</v>
      </c>
      <c r="E30" t="s">
        <v>467</v>
      </c>
      <c r="F30" s="45">
        <f>SUMIFS('2021 IS'!C:C,'2021 IS'!A:A,B30)</f>
        <v>0</v>
      </c>
      <c r="G30" s="45">
        <f>SUMIFS('2022 IS'!C:C,'2022 IS'!A:A,B30)</f>
        <v>0</v>
      </c>
      <c r="H30" s="45">
        <f>SUMIFS('2023 IS'!C:C,'2023 IS'!A:A,B30)</f>
        <v>0</v>
      </c>
      <c r="I30" s="45">
        <f>SUMIFS('2024 IS'!C:C,'2024 IS'!A:A,B30)</f>
        <v>0</v>
      </c>
      <c r="J30" s="45">
        <f>SUMIFS('2025 IS'!C:C,'2025 IS'!A:A,B30)</f>
        <v>0</v>
      </c>
    </row>
    <row r="31" spans="2:10" x14ac:dyDescent="0.25">
      <c r="B31" s="35" t="s">
        <v>286</v>
      </c>
      <c r="C31" t="s">
        <v>284</v>
      </c>
      <c r="D31" t="str">
        <f>_xlfn.XLOOKUP(B31,'Chart of Accounts'!B:B,'Chart of Accounts'!D:D)</f>
        <v>Salaries and Wages - Direct</v>
      </c>
      <c r="E31" t="s">
        <v>467</v>
      </c>
      <c r="F31" s="45">
        <f>SUMIFS('2021 IS'!C:C,'2021 IS'!A:A,B31)</f>
        <v>0</v>
      </c>
      <c r="G31" s="45">
        <f>SUMIFS('2022 IS'!C:C,'2022 IS'!A:A,B31)</f>
        <v>0</v>
      </c>
      <c r="H31" s="45">
        <f>SUMIFS('2023 IS'!C:C,'2023 IS'!A:A,B31)</f>
        <v>0</v>
      </c>
      <c r="I31" s="45">
        <f>SUMIFS('2024 IS'!C:C,'2024 IS'!A:A,B31)</f>
        <v>0</v>
      </c>
      <c r="J31" s="45">
        <f>SUMIFS('2025 IS'!C:C,'2025 IS'!A:A,B31)</f>
        <v>0</v>
      </c>
    </row>
    <row r="32" spans="2:10" x14ac:dyDescent="0.25">
      <c r="B32" s="35" t="s">
        <v>285</v>
      </c>
      <c r="C32" t="s">
        <v>284</v>
      </c>
      <c r="D32" t="str">
        <f>_xlfn.XLOOKUP(B32,'Chart of Accounts'!B:B,'Chart of Accounts'!D:D)</f>
        <v>Salaries and Wages - Direct</v>
      </c>
      <c r="E32" t="s">
        <v>467</v>
      </c>
      <c r="F32" s="45">
        <f>SUMIFS('2021 IS'!C:C,'2021 IS'!A:A,B32)</f>
        <v>26953.48</v>
      </c>
      <c r="G32" s="45">
        <f>SUMIFS('2022 IS'!C:C,'2022 IS'!A:A,B32)</f>
        <v>27246.15</v>
      </c>
      <c r="H32" s="45">
        <f>SUMIFS('2023 IS'!C:C,'2023 IS'!A:A,B32)</f>
        <v>28348.36</v>
      </c>
      <c r="I32" s="45">
        <f>SUMIFS('2024 IS'!C:C,'2024 IS'!A:A,B32)</f>
        <v>31024.6</v>
      </c>
      <c r="J32" s="45">
        <f>SUMIFS('2025 IS'!C:C,'2025 IS'!A:A,B32)</f>
        <v>24650.3</v>
      </c>
    </row>
    <row r="33" spans="2:10" x14ac:dyDescent="0.25">
      <c r="B33" s="35" t="s">
        <v>283</v>
      </c>
      <c r="C33" t="s">
        <v>280</v>
      </c>
      <c r="D33" t="str">
        <f>_xlfn.XLOOKUP(B33,'Chart of Accounts'!B:B,'Chart of Accounts'!D:D)</f>
        <v>Salaries and Wages - Direct</v>
      </c>
      <c r="E33" t="s">
        <v>467</v>
      </c>
      <c r="F33" s="45">
        <f>SUMIFS('2021 IS'!C:C,'2021 IS'!A:A,B33)</f>
        <v>0</v>
      </c>
      <c r="G33" s="45">
        <f>SUMIFS('2022 IS'!C:C,'2022 IS'!A:A,B33)</f>
        <v>0</v>
      </c>
      <c r="H33" s="45">
        <f>SUMIFS('2023 IS'!C:C,'2023 IS'!A:A,B33)</f>
        <v>0</v>
      </c>
      <c r="I33" s="45">
        <f>SUMIFS('2024 IS'!C:C,'2024 IS'!A:A,B33)</f>
        <v>0</v>
      </c>
      <c r="J33" s="45">
        <f>SUMIFS('2025 IS'!C:C,'2025 IS'!A:A,B33)</f>
        <v>0</v>
      </c>
    </row>
    <row r="34" spans="2:10" x14ac:dyDescent="0.25">
      <c r="B34" s="35" t="s">
        <v>282</v>
      </c>
      <c r="C34" t="s">
        <v>280</v>
      </c>
      <c r="D34" t="str">
        <f>_xlfn.XLOOKUP(B34,'Chart of Accounts'!B:B,'Chart of Accounts'!D:D)</f>
        <v>Salaries and Wages - Direct</v>
      </c>
      <c r="E34" t="s">
        <v>467</v>
      </c>
      <c r="F34" s="45">
        <f>SUMIFS('2021 IS'!C:C,'2021 IS'!A:A,B34)</f>
        <v>74665</v>
      </c>
      <c r="G34" s="45">
        <f>SUMIFS('2022 IS'!C:C,'2022 IS'!A:A,B34)</f>
        <v>68208.56</v>
      </c>
      <c r="H34" s="45">
        <f>SUMIFS('2023 IS'!C:C,'2023 IS'!A:A,B34)</f>
        <v>53900.07</v>
      </c>
      <c r="I34" s="45">
        <f>SUMIFS('2024 IS'!C:C,'2024 IS'!A:A,B34)</f>
        <v>63019.18</v>
      </c>
      <c r="J34" s="45">
        <f>SUMIFS('2025 IS'!C:C,'2025 IS'!A:A,B34)</f>
        <v>61578.52</v>
      </c>
    </row>
    <row r="35" spans="2:10" x14ac:dyDescent="0.25">
      <c r="B35" s="35" t="s">
        <v>281</v>
      </c>
      <c r="C35" t="s">
        <v>280</v>
      </c>
      <c r="D35" t="str">
        <f>_xlfn.XLOOKUP(B35,'Chart of Accounts'!B:B,'Chart of Accounts'!D:D)</f>
        <v>Salaries and Wages - Direct</v>
      </c>
      <c r="E35" t="s">
        <v>467</v>
      </c>
      <c r="F35" s="45">
        <f>SUMIFS('2021 IS'!C:C,'2021 IS'!A:A,B35)</f>
        <v>0</v>
      </c>
      <c r="G35" s="45">
        <f>SUMIFS('2022 IS'!C:C,'2022 IS'!A:A,B35)</f>
        <v>0</v>
      </c>
      <c r="H35" s="45">
        <f>SUMIFS('2023 IS'!C:C,'2023 IS'!A:A,B35)</f>
        <v>0</v>
      </c>
      <c r="I35" s="45">
        <f>SUMIFS('2024 IS'!C:C,'2024 IS'!A:A,B35)</f>
        <v>0</v>
      </c>
      <c r="J35" s="45">
        <f>SUMIFS('2025 IS'!C:C,'2025 IS'!A:A,B35)</f>
        <v>0</v>
      </c>
    </row>
    <row r="36" spans="2:10" x14ac:dyDescent="0.25">
      <c r="B36" s="35" t="s">
        <v>279</v>
      </c>
      <c r="C36" t="s">
        <v>276</v>
      </c>
      <c r="D36" t="str">
        <f>_xlfn.XLOOKUP(B36,'Chart of Accounts'!B:B,'Chart of Accounts'!D:D)</f>
        <v>Salaries and Wages - Direct</v>
      </c>
      <c r="E36" t="s">
        <v>467</v>
      </c>
      <c r="F36" s="45">
        <f>SUMIFS('2021 IS'!C:C,'2021 IS'!A:A,B36)</f>
        <v>0</v>
      </c>
      <c r="G36" s="45">
        <f>SUMIFS('2022 IS'!C:C,'2022 IS'!A:A,B36)</f>
        <v>0</v>
      </c>
      <c r="H36" s="45">
        <f>SUMIFS('2023 IS'!C:C,'2023 IS'!A:A,B36)</f>
        <v>0</v>
      </c>
      <c r="I36" s="45">
        <f>SUMIFS('2024 IS'!C:C,'2024 IS'!A:A,B36)</f>
        <v>0</v>
      </c>
      <c r="J36" s="45">
        <f>SUMIFS('2025 IS'!C:C,'2025 IS'!A:A,B36)</f>
        <v>0</v>
      </c>
    </row>
    <row r="37" spans="2:10" x14ac:dyDescent="0.25">
      <c r="B37" s="35" t="s">
        <v>278</v>
      </c>
      <c r="C37" t="s">
        <v>276</v>
      </c>
      <c r="D37" t="str">
        <f>_xlfn.XLOOKUP(B37,'Chart of Accounts'!B:B,'Chart of Accounts'!D:D)</f>
        <v>Salaries and Wages - Direct</v>
      </c>
      <c r="E37" t="s">
        <v>467</v>
      </c>
      <c r="F37" s="45">
        <f>SUMIFS('2021 IS'!C:C,'2021 IS'!A:A,B37)</f>
        <v>0</v>
      </c>
      <c r="G37" s="45">
        <f>SUMIFS('2022 IS'!C:C,'2022 IS'!A:A,B37)</f>
        <v>0</v>
      </c>
      <c r="H37" s="45">
        <f>SUMIFS('2023 IS'!C:C,'2023 IS'!A:A,B37)</f>
        <v>0</v>
      </c>
      <c r="I37" s="45">
        <f>SUMIFS('2024 IS'!C:C,'2024 IS'!A:A,B37)</f>
        <v>0</v>
      </c>
      <c r="J37" s="45">
        <f>SUMIFS('2025 IS'!C:C,'2025 IS'!A:A,B37)</f>
        <v>0</v>
      </c>
    </row>
    <row r="38" spans="2:10" x14ac:dyDescent="0.25">
      <c r="B38" s="35" t="s">
        <v>277</v>
      </c>
      <c r="C38" t="s">
        <v>276</v>
      </c>
      <c r="D38" t="str">
        <f>_xlfn.XLOOKUP(B38,'Chart of Accounts'!B:B,'Chart of Accounts'!D:D)</f>
        <v>Salaries and Wages - Direct</v>
      </c>
      <c r="E38" t="s">
        <v>467</v>
      </c>
      <c r="F38" s="45">
        <f>SUMIFS('2021 IS'!C:C,'2021 IS'!A:A,B38)</f>
        <v>24616.86</v>
      </c>
      <c r="G38" s="45">
        <f>SUMIFS('2022 IS'!C:C,'2022 IS'!A:A,B38)</f>
        <v>22653.05</v>
      </c>
      <c r="H38" s="45">
        <f>SUMIFS('2023 IS'!C:C,'2023 IS'!A:A,B38)</f>
        <v>18854.509999999998</v>
      </c>
      <c r="I38" s="45">
        <f>SUMIFS('2024 IS'!C:C,'2024 IS'!A:A,B38)</f>
        <v>26214.36</v>
      </c>
      <c r="J38" s="45">
        <f>SUMIFS('2025 IS'!C:C,'2025 IS'!A:A,B38)</f>
        <v>27552.02</v>
      </c>
    </row>
    <row r="39" spans="2:10" x14ac:dyDescent="0.25">
      <c r="B39" s="35" t="s">
        <v>275</v>
      </c>
      <c r="C39" t="s">
        <v>274</v>
      </c>
      <c r="D39" t="str">
        <f>_xlfn.XLOOKUP(B39,'Chart of Accounts'!B:B,'Chart of Accounts'!D:D)</f>
        <v>Salaries and Wages - Direct</v>
      </c>
      <c r="E39" t="s">
        <v>467</v>
      </c>
      <c r="F39" s="45">
        <f>SUMIFS('2021 IS'!C:C,'2021 IS'!A:A,B39)</f>
        <v>0</v>
      </c>
      <c r="G39" s="45">
        <f>SUMIFS('2022 IS'!C:C,'2022 IS'!A:A,B39)</f>
        <v>0</v>
      </c>
      <c r="H39" s="45">
        <f>SUMIFS('2023 IS'!C:C,'2023 IS'!A:A,B39)</f>
        <v>0</v>
      </c>
      <c r="I39" s="45">
        <f>SUMIFS('2024 IS'!C:C,'2024 IS'!A:A,B39)</f>
        <v>0</v>
      </c>
      <c r="J39" s="45">
        <f>SUMIFS('2025 IS'!C:C,'2025 IS'!A:A,B39)</f>
        <v>9179.49</v>
      </c>
    </row>
    <row r="40" spans="2:10" x14ac:dyDescent="0.25">
      <c r="B40" s="35" t="s">
        <v>273</v>
      </c>
      <c r="C40" t="s">
        <v>90</v>
      </c>
      <c r="D40" t="str">
        <f>_xlfn.XLOOKUP(B40,'Chart of Accounts'!B:B,'Chart of Accounts'!D:D)</f>
        <v>Salaries and Wages - Direct</v>
      </c>
      <c r="E40" t="s">
        <v>467</v>
      </c>
      <c r="F40" s="45">
        <f>SUMIFS('2021 IS'!C:C,'2021 IS'!A:A,B40)</f>
        <v>0</v>
      </c>
      <c r="G40" s="45">
        <f>SUMIFS('2022 IS'!C:C,'2022 IS'!A:A,B40)</f>
        <v>0</v>
      </c>
      <c r="H40" s="45">
        <f>SUMIFS('2023 IS'!C:C,'2023 IS'!A:A,B40)</f>
        <v>0</v>
      </c>
      <c r="I40" s="45">
        <f>SUMIFS('2024 IS'!C:C,'2024 IS'!A:A,B40)</f>
        <v>0</v>
      </c>
      <c r="J40" s="45">
        <f>SUMIFS('2025 IS'!C:C,'2025 IS'!A:A,B40)</f>
        <v>0</v>
      </c>
    </row>
    <row r="41" spans="2:10" x14ac:dyDescent="0.25">
      <c r="B41" s="35" t="s">
        <v>272</v>
      </c>
      <c r="C41" t="s">
        <v>90</v>
      </c>
      <c r="D41" t="str">
        <f>_xlfn.XLOOKUP(B41,'Chart of Accounts'!B:B,'Chart of Accounts'!D:D)</f>
        <v>Salaries and Wages - Direct</v>
      </c>
      <c r="E41" t="s">
        <v>467</v>
      </c>
      <c r="F41" s="45">
        <f>SUMIFS('2021 IS'!C:C,'2021 IS'!A:A,B41)</f>
        <v>27200.57</v>
      </c>
      <c r="G41" s="45">
        <f>SUMIFS('2022 IS'!C:C,'2022 IS'!A:A,B41)</f>
        <v>29278.54</v>
      </c>
      <c r="H41" s="45">
        <f>SUMIFS('2023 IS'!C:C,'2023 IS'!A:A,B41)</f>
        <v>27091.41</v>
      </c>
      <c r="I41" s="45">
        <f>SUMIFS('2024 IS'!C:C,'2024 IS'!A:A,B41)</f>
        <v>28356.720000000001</v>
      </c>
      <c r="J41" s="45">
        <f>SUMIFS('2025 IS'!C:C,'2025 IS'!A:A,B41)</f>
        <v>27792.66</v>
      </c>
    </row>
    <row r="42" spans="2:10" x14ac:dyDescent="0.25">
      <c r="B42" s="35" t="s">
        <v>271</v>
      </c>
      <c r="C42" t="s">
        <v>154</v>
      </c>
      <c r="D42" t="str">
        <f>_xlfn.XLOOKUP(B42,'Chart of Accounts'!B:B,'Chart of Accounts'!D:D)</f>
        <v>Salaries and Wages - Direct</v>
      </c>
      <c r="E42" t="s">
        <v>467</v>
      </c>
      <c r="F42" s="45">
        <f>SUMIFS('2021 IS'!C:C,'2021 IS'!A:A,B42)</f>
        <v>0</v>
      </c>
      <c r="G42" s="45">
        <f>SUMIFS('2022 IS'!C:C,'2022 IS'!A:A,B42)</f>
        <v>0</v>
      </c>
      <c r="H42" s="45">
        <f>SUMIFS('2023 IS'!C:C,'2023 IS'!A:A,B42)</f>
        <v>0</v>
      </c>
      <c r="I42" s="45">
        <f>SUMIFS('2024 IS'!C:C,'2024 IS'!A:A,B42)</f>
        <v>0</v>
      </c>
      <c r="J42" s="45">
        <f>SUMIFS('2025 IS'!C:C,'2025 IS'!A:A,B42)</f>
        <v>0</v>
      </c>
    </row>
    <row r="43" spans="2:10" x14ac:dyDescent="0.25">
      <c r="B43" s="35" t="s">
        <v>270</v>
      </c>
      <c r="C43" t="s">
        <v>154</v>
      </c>
      <c r="D43" t="str">
        <f>_xlfn.XLOOKUP(B43,'Chart of Accounts'!B:B,'Chart of Accounts'!D:D)</f>
        <v>Salaries and Wages - Direct</v>
      </c>
      <c r="E43" t="s">
        <v>467</v>
      </c>
      <c r="F43" s="45">
        <f>SUMIFS('2021 IS'!C:C,'2021 IS'!A:A,B43)</f>
        <v>0</v>
      </c>
      <c r="G43" s="45">
        <f>SUMIFS('2022 IS'!C:C,'2022 IS'!A:A,B43)</f>
        <v>0</v>
      </c>
      <c r="H43" s="45">
        <f>SUMIFS('2023 IS'!C:C,'2023 IS'!A:A,B43)</f>
        <v>0</v>
      </c>
      <c r="I43" s="45">
        <f>SUMIFS('2024 IS'!C:C,'2024 IS'!A:A,B43)</f>
        <v>0</v>
      </c>
      <c r="J43" s="45">
        <f>SUMIFS('2025 IS'!C:C,'2025 IS'!A:A,B43)</f>
        <v>0</v>
      </c>
    </row>
    <row r="44" spans="2:10" x14ac:dyDescent="0.25">
      <c r="B44" s="35" t="s">
        <v>269</v>
      </c>
      <c r="C44" t="s">
        <v>154</v>
      </c>
      <c r="D44" t="str">
        <f>_xlfn.XLOOKUP(B44,'Chart of Accounts'!B:B,'Chart of Accounts'!D:D)</f>
        <v>Salaries and Wages - Direct</v>
      </c>
      <c r="E44" t="s">
        <v>467</v>
      </c>
      <c r="F44" s="45">
        <f>SUMIFS('2021 IS'!C:C,'2021 IS'!A:A,B44)</f>
        <v>14956.08</v>
      </c>
      <c r="G44" s="45">
        <f>SUMIFS('2022 IS'!C:C,'2022 IS'!A:A,B44)</f>
        <v>13208.65</v>
      </c>
      <c r="H44" s="45">
        <f>SUMIFS('2023 IS'!C:C,'2023 IS'!A:A,B44)</f>
        <v>12792.25</v>
      </c>
      <c r="I44" s="45">
        <f>SUMIFS('2024 IS'!C:C,'2024 IS'!A:A,B44)</f>
        <v>14116.54</v>
      </c>
      <c r="J44" s="45">
        <f>SUMIFS('2025 IS'!C:C,'2025 IS'!A:A,B44)</f>
        <v>15062.53</v>
      </c>
    </row>
    <row r="45" spans="2:10" x14ac:dyDescent="0.25">
      <c r="B45" s="35" t="s">
        <v>268</v>
      </c>
      <c r="C45" t="s">
        <v>150</v>
      </c>
      <c r="D45" t="str">
        <f>_xlfn.XLOOKUP(B45,'Chart of Accounts'!B:B,'Chart of Accounts'!D:D)</f>
        <v>Salaries and Wages - Direct</v>
      </c>
      <c r="E45" t="s">
        <v>467</v>
      </c>
      <c r="F45" s="45">
        <f>SUMIFS('2021 IS'!C:C,'2021 IS'!A:A,B45)</f>
        <v>0</v>
      </c>
      <c r="G45" s="45">
        <f>SUMIFS('2022 IS'!C:C,'2022 IS'!A:A,B45)</f>
        <v>0</v>
      </c>
      <c r="H45" s="45">
        <f>SUMIFS('2023 IS'!C:C,'2023 IS'!A:A,B45)</f>
        <v>0</v>
      </c>
      <c r="I45" s="45">
        <f>SUMIFS('2024 IS'!C:C,'2024 IS'!A:A,B45)</f>
        <v>0</v>
      </c>
      <c r="J45" s="45">
        <f>SUMIFS('2025 IS'!C:C,'2025 IS'!A:A,B45)</f>
        <v>0</v>
      </c>
    </row>
    <row r="46" spans="2:10" x14ac:dyDescent="0.25">
      <c r="B46" s="35" t="s">
        <v>267</v>
      </c>
      <c r="C46" t="s">
        <v>266</v>
      </c>
      <c r="D46" t="str">
        <f>_xlfn.XLOOKUP(B46,'Chart of Accounts'!B:B,'Chart of Accounts'!D:D)</f>
        <v>Salaries and Wages - Direct</v>
      </c>
      <c r="E46" t="s">
        <v>467</v>
      </c>
      <c r="F46" s="45">
        <f>SUMIFS('2021 IS'!C:C,'2021 IS'!A:A,B46)</f>
        <v>763.31</v>
      </c>
      <c r="G46" s="45">
        <f>SUMIFS('2022 IS'!C:C,'2022 IS'!A:A,B46)</f>
        <v>0</v>
      </c>
      <c r="H46" s="45">
        <f>SUMIFS('2023 IS'!C:C,'2023 IS'!A:A,B46)</f>
        <v>0</v>
      </c>
      <c r="I46" s="45">
        <f>SUMIFS('2024 IS'!C:C,'2024 IS'!A:A,B46)</f>
        <v>173.6</v>
      </c>
      <c r="J46" s="45">
        <f>SUMIFS('2025 IS'!C:C,'2025 IS'!A:A,B46)</f>
        <v>658.75</v>
      </c>
    </row>
    <row r="47" spans="2:10" x14ac:dyDescent="0.25">
      <c r="B47" s="35" t="s">
        <v>265</v>
      </c>
      <c r="C47" t="s">
        <v>264</v>
      </c>
      <c r="D47" t="str">
        <f>_xlfn.XLOOKUP(B47,'Chart of Accounts'!B:B,'Chart of Accounts'!D:D)</f>
        <v>Other COGs</v>
      </c>
      <c r="E47" t="s">
        <v>467</v>
      </c>
      <c r="F47" s="45">
        <f>SUMIFS('2021 IS'!C:C,'2021 IS'!A:A,B47)</f>
        <v>53.29</v>
      </c>
      <c r="G47" s="45">
        <f>SUMIFS('2022 IS'!C:C,'2022 IS'!A:A,B47)</f>
        <v>-37</v>
      </c>
      <c r="H47" s="45">
        <f>SUMIFS('2023 IS'!C:C,'2023 IS'!A:A,B47)</f>
        <v>0</v>
      </c>
      <c r="I47" s="45">
        <f>SUMIFS('2024 IS'!C:C,'2024 IS'!A:A,B47)</f>
        <v>63.5</v>
      </c>
      <c r="J47" s="45">
        <f>SUMIFS('2025 IS'!C:C,'2025 IS'!A:A,B47)</f>
        <v>0</v>
      </c>
    </row>
    <row r="48" spans="2:10" x14ac:dyDescent="0.25">
      <c r="B48" s="35" t="s">
        <v>263</v>
      </c>
      <c r="C48" t="s">
        <v>262</v>
      </c>
      <c r="D48" t="str">
        <f>_xlfn.XLOOKUP(B48,'Chart of Accounts'!B:B,'Chart of Accounts'!D:D)</f>
        <v>Freight</v>
      </c>
      <c r="E48" t="s">
        <v>467</v>
      </c>
      <c r="F48" s="45">
        <f>SUMIFS('2021 IS'!C:C,'2021 IS'!A:A,B48)</f>
        <v>4731.96</v>
      </c>
      <c r="G48" s="45">
        <f>SUMIFS('2022 IS'!C:C,'2022 IS'!A:A,B48)</f>
        <v>44.84</v>
      </c>
      <c r="H48" s="45">
        <f>SUMIFS('2023 IS'!C:C,'2023 IS'!A:A,B48)</f>
        <v>0</v>
      </c>
      <c r="I48" s="45">
        <f>SUMIFS('2024 IS'!C:C,'2024 IS'!A:A,B48)</f>
        <v>602.62</v>
      </c>
      <c r="J48" s="45">
        <f>SUMIFS('2025 IS'!C:C,'2025 IS'!A:A,B48)</f>
        <v>3324.7</v>
      </c>
    </row>
    <row r="49" spans="2:10" x14ac:dyDescent="0.25">
      <c r="B49" s="35" t="s">
        <v>261</v>
      </c>
      <c r="C49" t="s">
        <v>259</v>
      </c>
      <c r="D49" t="str">
        <f>_xlfn.XLOOKUP(B49,'Chart of Accounts'!B:B,'Chart of Accounts'!D:D)</f>
        <v>Freight</v>
      </c>
      <c r="E49" t="s">
        <v>467</v>
      </c>
      <c r="F49" s="45">
        <f>SUMIFS('2021 IS'!C:C,'2021 IS'!A:A,B49)</f>
        <v>0</v>
      </c>
      <c r="G49" s="45">
        <f>SUMIFS('2022 IS'!C:C,'2022 IS'!A:A,B49)</f>
        <v>0</v>
      </c>
      <c r="H49" s="45">
        <f>SUMIFS('2023 IS'!C:C,'2023 IS'!A:A,B49)</f>
        <v>0</v>
      </c>
      <c r="I49" s="45">
        <f>SUMIFS('2024 IS'!C:C,'2024 IS'!A:A,B49)</f>
        <v>0</v>
      </c>
      <c r="J49" s="45">
        <f>SUMIFS('2025 IS'!C:C,'2025 IS'!A:A,B49)</f>
        <v>0</v>
      </c>
    </row>
    <row r="50" spans="2:10" x14ac:dyDescent="0.25">
      <c r="B50" s="35" t="s">
        <v>260</v>
      </c>
      <c r="C50" t="s">
        <v>259</v>
      </c>
      <c r="D50" t="str">
        <f>_xlfn.XLOOKUP(B50,'Chart of Accounts'!B:B,'Chart of Accounts'!D:D)</f>
        <v>Freight</v>
      </c>
      <c r="E50" t="s">
        <v>467</v>
      </c>
      <c r="F50" s="45">
        <f>SUMIFS('2021 IS'!C:C,'2021 IS'!A:A,B50)</f>
        <v>1423.64</v>
      </c>
      <c r="G50" s="45">
        <f>SUMIFS('2022 IS'!C:C,'2022 IS'!A:A,B50)</f>
        <v>1375.95</v>
      </c>
      <c r="H50" s="45">
        <f>SUMIFS('2023 IS'!C:C,'2023 IS'!A:A,B50)</f>
        <v>1944.58</v>
      </c>
      <c r="I50" s="45">
        <f>SUMIFS('2024 IS'!C:C,'2024 IS'!A:A,B50)</f>
        <v>1264.42</v>
      </c>
      <c r="J50" s="45">
        <f>SUMIFS('2025 IS'!C:C,'2025 IS'!A:A,B50)</f>
        <v>3059.36</v>
      </c>
    </row>
    <row r="51" spans="2:10" x14ac:dyDescent="0.25">
      <c r="B51" s="35" t="s">
        <v>258</v>
      </c>
      <c r="C51" t="s">
        <v>256</v>
      </c>
      <c r="D51" t="str">
        <f>_xlfn.XLOOKUP(B51,'Chart of Accounts'!B:B,'Chart of Accounts'!D:D)</f>
        <v>Freight</v>
      </c>
      <c r="E51" t="s">
        <v>467</v>
      </c>
      <c r="F51" s="45">
        <f>SUMIFS('2021 IS'!C:C,'2021 IS'!A:A,B51)</f>
        <v>0</v>
      </c>
      <c r="G51" s="45">
        <f>SUMIFS('2022 IS'!C:C,'2022 IS'!A:A,B51)</f>
        <v>0</v>
      </c>
      <c r="H51" s="45">
        <f>SUMIFS('2023 IS'!C:C,'2023 IS'!A:A,B51)</f>
        <v>0</v>
      </c>
      <c r="I51" s="45">
        <f>SUMIFS('2024 IS'!C:C,'2024 IS'!A:A,B51)</f>
        <v>0</v>
      </c>
      <c r="J51" s="45">
        <f>SUMIFS('2025 IS'!C:C,'2025 IS'!A:A,B51)</f>
        <v>0</v>
      </c>
    </row>
    <row r="52" spans="2:10" x14ac:dyDescent="0.25">
      <c r="B52" s="35" t="s">
        <v>257</v>
      </c>
      <c r="C52" t="s">
        <v>256</v>
      </c>
      <c r="D52" t="str">
        <f>_xlfn.XLOOKUP(B52,'Chart of Accounts'!B:B,'Chart of Accounts'!D:D)</f>
        <v>Freight</v>
      </c>
      <c r="E52" t="s">
        <v>467</v>
      </c>
      <c r="F52" s="45">
        <f>SUMIFS('2021 IS'!C:C,'2021 IS'!A:A,B52)</f>
        <v>0.84</v>
      </c>
      <c r="G52" s="45">
        <f>SUMIFS('2022 IS'!C:C,'2022 IS'!A:A,B52)</f>
        <v>459.12</v>
      </c>
      <c r="H52" s="45">
        <f>SUMIFS('2023 IS'!C:C,'2023 IS'!A:A,B52)</f>
        <v>-328.77</v>
      </c>
      <c r="I52" s="45">
        <f>SUMIFS('2024 IS'!C:C,'2024 IS'!A:A,B52)</f>
        <v>2773.73</v>
      </c>
      <c r="J52" s="45">
        <f>SUMIFS('2025 IS'!C:C,'2025 IS'!A:A,B52)</f>
        <v>-681.42</v>
      </c>
    </row>
    <row r="53" spans="2:10" x14ac:dyDescent="0.25">
      <c r="B53" s="35" t="s">
        <v>255</v>
      </c>
      <c r="C53" t="s">
        <v>254</v>
      </c>
      <c r="D53" t="str">
        <f>_xlfn.XLOOKUP(B53,'Chart of Accounts'!B:B,'Chart of Accounts'!D:D)</f>
        <v>Freight</v>
      </c>
      <c r="E53" t="s">
        <v>467</v>
      </c>
      <c r="F53" s="45">
        <f>SUMIFS('2021 IS'!C:C,'2021 IS'!A:A,B53)</f>
        <v>0</v>
      </c>
      <c r="G53" s="45">
        <f>SUMIFS('2022 IS'!C:C,'2022 IS'!A:A,B53)</f>
        <v>1340.04</v>
      </c>
      <c r="H53" s="45">
        <f>SUMIFS('2023 IS'!C:C,'2023 IS'!A:A,B53)</f>
        <v>483.61</v>
      </c>
      <c r="I53" s="45">
        <f>SUMIFS('2024 IS'!C:C,'2024 IS'!A:A,B53)</f>
        <v>0</v>
      </c>
      <c r="J53" s="45">
        <f>SUMIFS('2025 IS'!C:C,'2025 IS'!A:A,B53)</f>
        <v>0</v>
      </c>
    </row>
    <row r="54" spans="2:10" x14ac:dyDescent="0.25">
      <c r="B54" s="35" t="s">
        <v>253</v>
      </c>
      <c r="C54" t="s">
        <v>252</v>
      </c>
      <c r="D54" t="str">
        <f>_xlfn.XLOOKUP(B54,'Chart of Accounts'!B:B,'Chart of Accounts'!D:D)</f>
        <v>Freight</v>
      </c>
      <c r="E54" t="s">
        <v>467</v>
      </c>
      <c r="F54" s="45">
        <f>SUMIFS('2021 IS'!C:C,'2021 IS'!A:A,B54)</f>
        <v>55.93</v>
      </c>
      <c r="G54" s="45">
        <f>SUMIFS('2022 IS'!C:C,'2022 IS'!A:A,B54)</f>
        <v>0</v>
      </c>
      <c r="H54" s="45">
        <f>SUMIFS('2023 IS'!C:C,'2023 IS'!A:A,B54)</f>
        <v>184.65</v>
      </c>
      <c r="I54" s="45">
        <f>SUMIFS('2024 IS'!C:C,'2024 IS'!A:A,B54)</f>
        <v>-266.51</v>
      </c>
      <c r="J54" s="45">
        <f>SUMIFS('2025 IS'!C:C,'2025 IS'!A:A,B54)</f>
        <v>849.73</v>
      </c>
    </row>
    <row r="55" spans="2:10" x14ac:dyDescent="0.25">
      <c r="B55" s="35" t="s">
        <v>251</v>
      </c>
      <c r="C55" t="s">
        <v>250</v>
      </c>
      <c r="D55" t="str">
        <f>_xlfn.XLOOKUP(B55,'Chart of Accounts'!B:B,'Chart of Accounts'!D:D)</f>
        <v>Freight</v>
      </c>
      <c r="E55" t="s">
        <v>467</v>
      </c>
      <c r="F55" s="45">
        <f>SUMIFS('2021 IS'!C:C,'2021 IS'!A:A,B55)</f>
        <v>704.81</v>
      </c>
      <c r="G55" s="45">
        <f>SUMIFS('2022 IS'!C:C,'2022 IS'!A:A,B55)</f>
        <v>0</v>
      </c>
      <c r="H55" s="45">
        <f>SUMIFS('2023 IS'!C:C,'2023 IS'!A:A,B55)</f>
        <v>0</v>
      </c>
      <c r="I55" s="45">
        <f>SUMIFS('2024 IS'!C:C,'2024 IS'!A:A,B55)</f>
        <v>0</v>
      </c>
      <c r="J55" s="45">
        <f>SUMIFS('2025 IS'!C:C,'2025 IS'!A:A,B55)</f>
        <v>0</v>
      </c>
    </row>
    <row r="56" spans="2:10" x14ac:dyDescent="0.25">
      <c r="B56" s="35" t="s">
        <v>249</v>
      </c>
      <c r="C56" t="s">
        <v>248</v>
      </c>
      <c r="D56" t="str">
        <f>_xlfn.XLOOKUP(B56,'Chart of Accounts'!B:B,'Chart of Accounts'!D:D)</f>
        <v xml:space="preserve">Materials </v>
      </c>
      <c r="E56" t="s">
        <v>467</v>
      </c>
      <c r="F56" s="45">
        <f>SUMIFS('2021 IS'!C:C,'2021 IS'!A:A,B56)</f>
        <v>0</v>
      </c>
      <c r="G56" s="45">
        <f>SUMIFS('2022 IS'!C:C,'2022 IS'!A:A,B56)</f>
        <v>0</v>
      </c>
      <c r="H56" s="45">
        <f>SUMIFS('2023 IS'!C:C,'2023 IS'!A:A,B56)</f>
        <v>0</v>
      </c>
      <c r="I56" s="45">
        <f>SUMIFS('2024 IS'!C:C,'2024 IS'!A:A,B56)</f>
        <v>0</v>
      </c>
      <c r="J56" s="45">
        <f>SUMIFS('2025 IS'!C:C,'2025 IS'!A:A,B56)</f>
        <v>10239.030000000001</v>
      </c>
    </row>
    <row r="57" spans="2:10" x14ac:dyDescent="0.25">
      <c r="B57" s="35" t="s">
        <v>247</v>
      </c>
      <c r="C57" t="s">
        <v>245</v>
      </c>
      <c r="D57" t="str">
        <f>_xlfn.XLOOKUP(B57,'Chart of Accounts'!B:B,'Chart of Accounts'!D:D)</f>
        <v xml:space="preserve">Materials </v>
      </c>
      <c r="E57" t="s">
        <v>467</v>
      </c>
      <c r="F57" s="45">
        <f>SUMIFS('2021 IS'!C:C,'2021 IS'!A:A,B57)</f>
        <v>0</v>
      </c>
      <c r="G57" s="45">
        <f>SUMIFS('2022 IS'!C:C,'2022 IS'!A:A,B57)</f>
        <v>0</v>
      </c>
      <c r="H57" s="45">
        <f>SUMIFS('2023 IS'!C:C,'2023 IS'!A:A,B57)</f>
        <v>0</v>
      </c>
      <c r="I57" s="45">
        <f>SUMIFS('2024 IS'!C:C,'2024 IS'!A:A,B57)</f>
        <v>0</v>
      </c>
      <c r="J57" s="45">
        <f>SUMIFS('2025 IS'!C:C,'2025 IS'!A:A,B57)</f>
        <v>0</v>
      </c>
    </row>
    <row r="58" spans="2:10" x14ac:dyDescent="0.25">
      <c r="B58" s="35" t="s">
        <v>246</v>
      </c>
      <c r="C58" t="s">
        <v>245</v>
      </c>
      <c r="D58" t="str">
        <f>_xlfn.XLOOKUP(B58,'Chart of Accounts'!B:B,'Chart of Accounts'!D:D)</f>
        <v xml:space="preserve">Materials </v>
      </c>
      <c r="E58" t="s">
        <v>467</v>
      </c>
      <c r="F58" s="45">
        <f>SUMIFS('2021 IS'!C:C,'2021 IS'!A:A,B58)</f>
        <v>7599.51</v>
      </c>
      <c r="G58" s="45">
        <f>SUMIFS('2022 IS'!C:C,'2022 IS'!A:A,B58)</f>
        <v>1352.49</v>
      </c>
      <c r="H58" s="45">
        <f>SUMIFS('2023 IS'!C:C,'2023 IS'!A:A,B58)</f>
        <v>1755.53</v>
      </c>
      <c r="I58" s="45">
        <f>SUMIFS('2024 IS'!C:C,'2024 IS'!A:A,B58)</f>
        <v>3492.47</v>
      </c>
      <c r="J58" s="45">
        <f>SUMIFS('2025 IS'!C:C,'2025 IS'!A:A,B58)</f>
        <v>2828.34</v>
      </c>
    </row>
    <row r="59" spans="2:10" x14ac:dyDescent="0.25">
      <c r="B59" s="35" t="s">
        <v>244</v>
      </c>
      <c r="C59" t="s">
        <v>243</v>
      </c>
      <c r="D59" t="str">
        <f>_xlfn.XLOOKUP(B59,'Chart of Accounts'!B:B,'Chart of Accounts'!D:D)</f>
        <v>Other COGs</v>
      </c>
      <c r="E59" t="s">
        <v>467</v>
      </c>
      <c r="F59" s="45">
        <f>SUMIFS('2021 IS'!C:C,'2021 IS'!A:A,B59)</f>
        <v>6479.63</v>
      </c>
      <c r="G59" s="45">
        <f>SUMIFS('2022 IS'!C:C,'2022 IS'!A:A,B59)</f>
        <v>84.66</v>
      </c>
      <c r="H59" s="45">
        <f>SUMIFS('2023 IS'!C:C,'2023 IS'!A:A,B59)</f>
        <v>0</v>
      </c>
      <c r="I59" s="45">
        <f>SUMIFS('2024 IS'!C:C,'2024 IS'!A:A,B59)</f>
        <v>0</v>
      </c>
      <c r="J59" s="45">
        <f>SUMIFS('2025 IS'!C:C,'2025 IS'!A:A,B59)</f>
        <v>0</v>
      </c>
    </row>
    <row r="60" spans="2:10" x14ac:dyDescent="0.25">
      <c r="B60" s="35" t="s">
        <v>242</v>
      </c>
      <c r="C60" t="s">
        <v>241</v>
      </c>
      <c r="D60" t="str">
        <f>_xlfn.XLOOKUP(B60,'Chart of Accounts'!B:B,'Chart of Accounts'!D:D)</f>
        <v>Other COGs</v>
      </c>
      <c r="E60" t="s">
        <v>467</v>
      </c>
      <c r="F60" s="45">
        <f>SUMIFS('2021 IS'!C:C,'2021 IS'!A:A,B60)</f>
        <v>479.21</v>
      </c>
      <c r="G60" s="45">
        <f>SUMIFS('2022 IS'!C:C,'2022 IS'!A:A,B60)</f>
        <v>10275.02</v>
      </c>
      <c r="H60" s="45">
        <f>SUMIFS('2023 IS'!C:C,'2023 IS'!A:A,B60)</f>
        <v>-30795.49</v>
      </c>
      <c r="I60" s="45">
        <f>SUMIFS('2024 IS'!C:C,'2024 IS'!A:A,B60)</f>
        <v>1697.19</v>
      </c>
      <c r="J60" s="45">
        <f>SUMIFS('2025 IS'!C:C,'2025 IS'!A:A,B60)</f>
        <v>3916.73</v>
      </c>
    </row>
    <row r="61" spans="2:10" x14ac:dyDescent="0.25">
      <c r="B61" s="35" t="s">
        <v>240</v>
      </c>
      <c r="C61" t="s">
        <v>136</v>
      </c>
      <c r="D61" t="str">
        <f>_xlfn.XLOOKUP(B61,'Chart of Accounts'!B:B,'Chart of Accounts'!D:D)</f>
        <v>Outside Services</v>
      </c>
      <c r="E61" t="s">
        <v>467</v>
      </c>
      <c r="F61" s="45">
        <f>SUMIFS('2021 IS'!C:C,'2021 IS'!A:A,B61)</f>
        <v>0</v>
      </c>
      <c r="G61" s="45">
        <f>SUMIFS('2022 IS'!C:C,'2022 IS'!A:A,B61)</f>
        <v>0</v>
      </c>
      <c r="H61" s="45">
        <f>SUMIFS('2023 IS'!C:C,'2023 IS'!A:A,B61)</f>
        <v>0</v>
      </c>
      <c r="I61" s="45">
        <f>SUMIFS('2024 IS'!C:C,'2024 IS'!A:A,B61)</f>
        <v>0</v>
      </c>
      <c r="J61" s="45">
        <f>SUMIFS('2025 IS'!C:C,'2025 IS'!A:A,B61)</f>
        <v>0</v>
      </c>
    </row>
    <row r="62" spans="2:10" x14ac:dyDescent="0.25">
      <c r="B62" s="35" t="s">
        <v>239</v>
      </c>
      <c r="C62" t="s">
        <v>238</v>
      </c>
      <c r="D62" t="str">
        <f>_xlfn.XLOOKUP(B62,'Chart of Accounts'!B:B,'Chart of Accounts'!D:D)</f>
        <v>Outside Services</v>
      </c>
      <c r="E62" t="s">
        <v>467</v>
      </c>
      <c r="F62" s="45">
        <f>SUMIFS('2021 IS'!C:C,'2021 IS'!A:A,B62)</f>
        <v>0</v>
      </c>
      <c r="G62" s="45">
        <f>SUMIFS('2022 IS'!C:C,'2022 IS'!A:A,B62)</f>
        <v>0</v>
      </c>
      <c r="H62" s="45">
        <f>SUMIFS('2023 IS'!C:C,'2023 IS'!A:A,B62)</f>
        <v>0</v>
      </c>
      <c r="I62" s="45">
        <f>SUMIFS('2024 IS'!C:C,'2024 IS'!A:A,B62)</f>
        <v>0</v>
      </c>
      <c r="J62" s="45">
        <f>SUMIFS('2025 IS'!C:C,'2025 IS'!A:A,B62)</f>
        <v>0</v>
      </c>
    </row>
    <row r="63" spans="2:10" x14ac:dyDescent="0.25">
      <c r="B63" s="35" t="s">
        <v>237</v>
      </c>
      <c r="C63" t="s">
        <v>236</v>
      </c>
      <c r="D63" t="str">
        <f>_xlfn.XLOOKUP(B63,'Chart of Accounts'!B:B,'Chart of Accounts'!D:D)</f>
        <v>Other COGs</v>
      </c>
      <c r="E63" t="s">
        <v>467</v>
      </c>
      <c r="F63" s="45">
        <f>SUMIFS('2021 IS'!C:C,'2021 IS'!A:A,B63)</f>
        <v>2616.81</v>
      </c>
      <c r="G63" s="45">
        <f>SUMIFS('2022 IS'!C:C,'2022 IS'!A:A,B63)</f>
        <v>0</v>
      </c>
      <c r="H63" s="45">
        <f>SUMIFS('2023 IS'!C:C,'2023 IS'!A:A,B63)</f>
        <v>2304.44</v>
      </c>
      <c r="I63" s="45">
        <f>SUMIFS('2024 IS'!C:C,'2024 IS'!A:A,B63)</f>
        <v>520</v>
      </c>
      <c r="J63" s="45">
        <f>SUMIFS('2025 IS'!C:C,'2025 IS'!A:A,B63)</f>
        <v>2328.52</v>
      </c>
    </row>
    <row r="64" spans="2:10" x14ac:dyDescent="0.25">
      <c r="B64" s="35" t="s">
        <v>235</v>
      </c>
      <c r="C64" t="s">
        <v>234</v>
      </c>
      <c r="D64" t="str">
        <f>_xlfn.XLOOKUP(B64,'Chart of Accounts'!B:B,'Chart of Accounts'!D:D)</f>
        <v>Other COGs</v>
      </c>
      <c r="E64" t="s">
        <v>467</v>
      </c>
      <c r="F64" s="45">
        <f>SUMIFS('2021 IS'!C:C,'2021 IS'!A:A,B64)</f>
        <v>5214</v>
      </c>
      <c r="G64" s="45">
        <f>SUMIFS('2022 IS'!C:C,'2022 IS'!A:A,B64)</f>
        <v>-86.89</v>
      </c>
      <c r="H64" s="45">
        <f>SUMIFS('2023 IS'!C:C,'2023 IS'!A:A,B64)</f>
        <v>570.41999999999996</v>
      </c>
      <c r="I64" s="45">
        <f>SUMIFS('2024 IS'!C:C,'2024 IS'!A:A,B64)</f>
        <v>0</v>
      </c>
      <c r="J64" s="45">
        <f>SUMIFS('2025 IS'!C:C,'2025 IS'!A:A,B64)</f>
        <v>0</v>
      </c>
    </row>
    <row r="65" spans="2:10" x14ac:dyDescent="0.25">
      <c r="B65" s="35" t="s">
        <v>233</v>
      </c>
      <c r="C65" t="s">
        <v>232</v>
      </c>
      <c r="D65" t="str">
        <f>_xlfn.XLOOKUP(B65,'Chart of Accounts'!B:B,'Chart of Accounts'!D:D)</f>
        <v>Other COGs</v>
      </c>
      <c r="E65" t="s">
        <v>467</v>
      </c>
      <c r="F65" s="45">
        <f>SUMIFS('2021 IS'!C:C,'2021 IS'!A:A,B65)</f>
        <v>59.92</v>
      </c>
      <c r="G65" s="45">
        <f>SUMIFS('2022 IS'!C:C,'2022 IS'!A:A,B65)</f>
        <v>0</v>
      </c>
      <c r="H65" s="45">
        <f>SUMIFS('2023 IS'!C:C,'2023 IS'!A:A,B65)</f>
        <v>388.19</v>
      </c>
      <c r="I65" s="45">
        <f>SUMIFS('2024 IS'!C:C,'2024 IS'!A:A,B65)</f>
        <v>1150.5899999999999</v>
      </c>
      <c r="J65" s="45">
        <f>SUMIFS('2025 IS'!C:C,'2025 IS'!A:A,B65)</f>
        <v>4.47</v>
      </c>
    </row>
    <row r="66" spans="2:10" x14ac:dyDescent="0.25">
      <c r="B66" s="35" t="s">
        <v>231</v>
      </c>
      <c r="C66" t="s">
        <v>230</v>
      </c>
      <c r="D66" t="str">
        <f>_xlfn.XLOOKUP(B66,'Chart of Accounts'!B:B,'Chart of Accounts'!D:D)</f>
        <v>Other COGs</v>
      </c>
      <c r="E66" t="s">
        <v>467</v>
      </c>
      <c r="F66" s="45">
        <f>SUMIFS('2021 IS'!C:C,'2021 IS'!A:A,B66)</f>
        <v>5721</v>
      </c>
      <c r="G66" s="45">
        <f>SUMIFS('2022 IS'!C:C,'2022 IS'!A:A,B66)</f>
        <v>887.5</v>
      </c>
      <c r="H66" s="45">
        <f>SUMIFS('2023 IS'!C:C,'2023 IS'!A:A,B66)</f>
        <v>7345</v>
      </c>
      <c r="I66" s="45">
        <f>SUMIFS('2024 IS'!C:C,'2024 IS'!A:A,B66)</f>
        <v>4900</v>
      </c>
      <c r="J66" s="45">
        <f>SUMIFS('2025 IS'!C:C,'2025 IS'!A:A,B66)</f>
        <v>9717.9599999999991</v>
      </c>
    </row>
    <row r="67" spans="2:10" x14ac:dyDescent="0.25">
      <c r="B67" s="35" t="s">
        <v>229</v>
      </c>
      <c r="C67" t="s">
        <v>228</v>
      </c>
      <c r="D67" t="str">
        <f>_xlfn.XLOOKUP(B67,'Chart of Accounts'!B:B,'Chart of Accounts'!D:D)</f>
        <v>Other COGs</v>
      </c>
      <c r="E67" t="s">
        <v>467</v>
      </c>
      <c r="F67" s="45">
        <f>SUMIFS('2021 IS'!C:C,'2021 IS'!A:A,B67)</f>
        <v>0</v>
      </c>
      <c r="G67" s="45">
        <f>SUMIFS('2022 IS'!C:C,'2022 IS'!A:A,B67)</f>
        <v>0</v>
      </c>
      <c r="H67" s="45">
        <f>SUMIFS('2023 IS'!C:C,'2023 IS'!A:A,B67)</f>
        <v>0</v>
      </c>
      <c r="I67" s="45">
        <f>SUMIFS('2024 IS'!C:C,'2024 IS'!A:A,B67)</f>
        <v>0</v>
      </c>
      <c r="J67" s="45">
        <f>SUMIFS('2025 IS'!C:C,'2025 IS'!A:A,B67)</f>
        <v>0</v>
      </c>
    </row>
    <row r="68" spans="2:10" x14ac:dyDescent="0.25">
      <c r="B68" s="35" t="s">
        <v>227</v>
      </c>
      <c r="C68" t="s">
        <v>226</v>
      </c>
      <c r="D68" t="str">
        <f>_xlfn.XLOOKUP(B68,'Chart of Accounts'!B:B,'Chart of Accounts'!D:D)</f>
        <v>Other COGs</v>
      </c>
      <c r="E68" t="s">
        <v>467</v>
      </c>
      <c r="F68" s="45">
        <f>SUMIFS('2021 IS'!C:C,'2021 IS'!A:A,B68)</f>
        <v>0</v>
      </c>
      <c r="G68" s="45">
        <f>SUMIFS('2022 IS'!C:C,'2022 IS'!A:A,B68)</f>
        <v>0</v>
      </c>
      <c r="H68" s="45">
        <f>SUMIFS('2023 IS'!C:C,'2023 IS'!A:A,B68)</f>
        <v>0</v>
      </c>
      <c r="I68" s="45">
        <f>SUMIFS('2024 IS'!C:C,'2024 IS'!A:A,B68)</f>
        <v>0</v>
      </c>
      <c r="J68" s="45">
        <f>SUMIFS('2025 IS'!C:C,'2025 IS'!A:A,B68)</f>
        <v>0</v>
      </c>
    </row>
    <row r="69" spans="2:10" x14ac:dyDescent="0.25">
      <c r="B69" s="35" t="s">
        <v>225</v>
      </c>
      <c r="C69" t="s">
        <v>224</v>
      </c>
      <c r="D69" t="str">
        <f>_xlfn.XLOOKUP(B69,'Chart of Accounts'!B:B,'Chart of Accounts'!D:D)</f>
        <v>Other COGs</v>
      </c>
      <c r="E69" t="s">
        <v>467</v>
      </c>
      <c r="F69" s="45">
        <f>SUMIFS('2021 IS'!C:C,'2021 IS'!A:A,B69)</f>
        <v>1171.3</v>
      </c>
      <c r="G69" s="45">
        <f>SUMIFS('2022 IS'!C:C,'2022 IS'!A:A,B69)</f>
        <v>0</v>
      </c>
      <c r="H69" s="45">
        <f>SUMIFS('2023 IS'!C:C,'2023 IS'!A:A,B69)</f>
        <v>0</v>
      </c>
      <c r="I69" s="45">
        <f>SUMIFS('2024 IS'!C:C,'2024 IS'!A:A,B69)</f>
        <v>137</v>
      </c>
      <c r="J69" s="45">
        <f>SUMIFS('2025 IS'!C:C,'2025 IS'!A:A,B69)</f>
        <v>1121</v>
      </c>
    </row>
    <row r="70" spans="2:10" x14ac:dyDescent="0.25">
      <c r="B70" s="35" t="s">
        <v>223</v>
      </c>
      <c r="C70" t="s">
        <v>222</v>
      </c>
      <c r="D70" t="str">
        <f>_xlfn.XLOOKUP(B70,'Chart of Accounts'!B:B,'Chart of Accounts'!D:D)</f>
        <v>Other COGs</v>
      </c>
      <c r="E70" t="s">
        <v>467</v>
      </c>
      <c r="F70" s="45">
        <f>SUMIFS('2021 IS'!C:C,'2021 IS'!A:A,B70)</f>
        <v>0</v>
      </c>
      <c r="G70" s="45">
        <f>SUMIFS('2022 IS'!C:C,'2022 IS'!A:A,B70)</f>
        <v>0</v>
      </c>
      <c r="H70" s="45">
        <f>SUMIFS('2023 IS'!C:C,'2023 IS'!A:A,B70)</f>
        <v>0</v>
      </c>
      <c r="I70" s="45">
        <f>SUMIFS('2024 IS'!C:C,'2024 IS'!A:A,B70)</f>
        <v>0</v>
      </c>
      <c r="J70" s="45">
        <f>SUMIFS('2025 IS'!C:C,'2025 IS'!A:A,B70)</f>
        <v>0</v>
      </c>
    </row>
    <row r="71" spans="2:10" x14ac:dyDescent="0.25">
      <c r="B71" s="35" t="s">
        <v>221</v>
      </c>
      <c r="C71" t="s">
        <v>220</v>
      </c>
      <c r="D71" t="str">
        <f>_xlfn.XLOOKUP(B71,'Chart of Accounts'!B:B,'Chart of Accounts'!D:D)</f>
        <v>Other COGs</v>
      </c>
      <c r="E71" t="s">
        <v>467</v>
      </c>
      <c r="F71" s="45">
        <f>SUMIFS('2021 IS'!C:C,'2021 IS'!A:A,B71)</f>
        <v>5406.8</v>
      </c>
      <c r="G71" s="45">
        <f>SUMIFS('2022 IS'!C:C,'2022 IS'!A:A,B71)</f>
        <v>3340.05</v>
      </c>
      <c r="H71" s="45">
        <f>SUMIFS('2023 IS'!C:C,'2023 IS'!A:A,B71)</f>
        <v>3321.11</v>
      </c>
      <c r="I71" s="45">
        <f>SUMIFS('2024 IS'!C:C,'2024 IS'!A:A,B71)</f>
        <v>3275.15</v>
      </c>
      <c r="J71" s="45">
        <f>SUMIFS('2025 IS'!C:C,'2025 IS'!A:A,B71)</f>
        <v>3052.76</v>
      </c>
    </row>
    <row r="72" spans="2:10" x14ac:dyDescent="0.25">
      <c r="B72" s="35" t="s">
        <v>219</v>
      </c>
      <c r="C72" t="s">
        <v>218</v>
      </c>
      <c r="D72" t="str">
        <f>_xlfn.XLOOKUP(B72,'Chart of Accounts'!B:B,'Chart of Accounts'!D:D)</f>
        <v>Other COGs</v>
      </c>
      <c r="E72" t="s">
        <v>467</v>
      </c>
      <c r="F72" s="45">
        <f>SUMIFS('2021 IS'!C:C,'2021 IS'!A:A,B72)</f>
        <v>0</v>
      </c>
      <c r="G72" s="45">
        <f>SUMIFS('2022 IS'!C:C,'2022 IS'!A:A,B72)</f>
        <v>0</v>
      </c>
      <c r="H72" s="45">
        <f>SUMIFS('2023 IS'!C:C,'2023 IS'!A:A,B72)</f>
        <v>170</v>
      </c>
      <c r="I72" s="45">
        <f>SUMIFS('2024 IS'!C:C,'2024 IS'!A:A,B72)</f>
        <v>0</v>
      </c>
      <c r="J72" s="45">
        <f>SUMIFS('2025 IS'!C:C,'2025 IS'!A:A,B72)</f>
        <v>0</v>
      </c>
    </row>
    <row r="73" spans="2:10" x14ac:dyDescent="0.25">
      <c r="B73" s="35" t="s">
        <v>217</v>
      </c>
      <c r="C73" t="s">
        <v>104</v>
      </c>
      <c r="D73" t="str">
        <f>_xlfn.XLOOKUP(B73,'Chart of Accounts'!B:B,'Chart of Accounts'!D:D)</f>
        <v>Building Expenses - Direct</v>
      </c>
      <c r="E73" t="s">
        <v>467</v>
      </c>
      <c r="F73" s="45">
        <f>SUMIFS('2021 IS'!C:C,'2021 IS'!A:A,B73)</f>
        <v>4888.79</v>
      </c>
      <c r="G73" s="45">
        <f>SUMIFS('2022 IS'!C:C,'2022 IS'!A:A,B73)</f>
        <v>5007.88</v>
      </c>
      <c r="H73" s="45">
        <f>SUMIFS('2023 IS'!C:C,'2023 IS'!A:A,B73)</f>
        <v>7351.99</v>
      </c>
      <c r="I73" s="45">
        <f>SUMIFS('2024 IS'!C:C,'2024 IS'!A:A,B73)</f>
        <v>7744.62</v>
      </c>
      <c r="J73" s="45">
        <f>SUMIFS('2025 IS'!C:C,'2025 IS'!A:A,B73)</f>
        <v>3825.9</v>
      </c>
    </row>
    <row r="74" spans="2:10" x14ac:dyDescent="0.25">
      <c r="B74" s="35" t="s">
        <v>216</v>
      </c>
      <c r="C74" t="s">
        <v>104</v>
      </c>
      <c r="D74" t="str">
        <f>_xlfn.XLOOKUP(B74,'Chart of Accounts'!B:B,'Chart of Accounts'!D:D)</f>
        <v>Building Expenses - Direct</v>
      </c>
      <c r="E74" t="s">
        <v>467</v>
      </c>
      <c r="F74" s="45">
        <f>SUMIFS('2021 IS'!C:C,'2021 IS'!A:A,B74)</f>
        <v>0</v>
      </c>
      <c r="G74" s="45">
        <f>SUMIFS('2022 IS'!C:C,'2022 IS'!A:A,B74)</f>
        <v>0</v>
      </c>
      <c r="H74" s="45">
        <f>SUMIFS('2023 IS'!C:C,'2023 IS'!A:A,B74)</f>
        <v>0</v>
      </c>
      <c r="I74" s="45">
        <f>SUMIFS('2024 IS'!C:C,'2024 IS'!A:A,B74)</f>
        <v>0</v>
      </c>
      <c r="J74" s="45">
        <f>SUMIFS('2025 IS'!C:C,'2025 IS'!A:A,B74)</f>
        <v>0</v>
      </c>
    </row>
    <row r="75" spans="2:10" x14ac:dyDescent="0.25">
      <c r="B75" s="35" t="s">
        <v>215</v>
      </c>
      <c r="C75" t="s">
        <v>102</v>
      </c>
      <c r="D75" t="str">
        <f>_xlfn.XLOOKUP(B75,'Chart of Accounts'!B:B,'Chart of Accounts'!D:D)</f>
        <v>Building Expenses - Direct</v>
      </c>
      <c r="E75" t="s">
        <v>467</v>
      </c>
      <c r="F75" s="45">
        <f>SUMIFS('2021 IS'!C:C,'2021 IS'!A:A,B75)</f>
        <v>17716.759999999998</v>
      </c>
      <c r="G75" s="45">
        <f>SUMIFS('2022 IS'!C:C,'2022 IS'!A:A,B75)</f>
        <v>7123.4</v>
      </c>
      <c r="H75" s="45">
        <f>SUMIFS('2023 IS'!C:C,'2023 IS'!A:A,B75)</f>
        <v>6167.1</v>
      </c>
      <c r="I75" s="45">
        <f>SUMIFS('2024 IS'!C:C,'2024 IS'!A:A,B75)</f>
        <v>9270.36</v>
      </c>
      <c r="J75" s="45">
        <f>SUMIFS('2025 IS'!C:C,'2025 IS'!A:A,B75)</f>
        <v>9392.0800000000017</v>
      </c>
    </row>
    <row r="76" spans="2:10" x14ac:dyDescent="0.25">
      <c r="B76" s="35" t="s">
        <v>214</v>
      </c>
      <c r="C76" t="s">
        <v>100</v>
      </c>
      <c r="D76" t="str">
        <f>_xlfn.XLOOKUP(B76,'Chart of Accounts'!B:B,'Chart of Accounts'!D:D)</f>
        <v>Building Expenses - Direct</v>
      </c>
      <c r="E76" t="s">
        <v>467</v>
      </c>
      <c r="F76" s="45">
        <f>SUMIFS('2021 IS'!C:C,'2021 IS'!A:A,B76)</f>
        <v>2603</v>
      </c>
      <c r="G76" s="45">
        <f>SUMIFS('2022 IS'!C:C,'2022 IS'!A:A,B76)</f>
        <v>2691.43</v>
      </c>
      <c r="H76" s="45">
        <f>SUMIFS('2023 IS'!C:C,'2023 IS'!A:A,B76)</f>
        <v>2775.11</v>
      </c>
      <c r="I76" s="45">
        <f>SUMIFS('2024 IS'!C:C,'2024 IS'!A:A,B76)</f>
        <v>0.03</v>
      </c>
      <c r="J76" s="45">
        <f>SUMIFS('2025 IS'!C:C,'2025 IS'!A:A,B76)</f>
        <v>5318.5</v>
      </c>
    </row>
    <row r="77" spans="2:10" x14ac:dyDescent="0.25">
      <c r="B77" s="35" t="s">
        <v>213</v>
      </c>
      <c r="C77" t="s">
        <v>92</v>
      </c>
      <c r="D77" t="str">
        <f>_xlfn.XLOOKUP(B77,'Chart of Accounts'!B:B,'Chart of Accounts'!D:D)</f>
        <v>Depreciation &amp; Amortization - Direct</v>
      </c>
      <c r="E77" t="s">
        <v>467</v>
      </c>
      <c r="F77" s="45">
        <f>SUMIFS('2021 IS'!C:C,'2021 IS'!A:A,B77)</f>
        <v>4958.33</v>
      </c>
      <c r="G77" s="45">
        <f>SUMIFS('2022 IS'!C:C,'2022 IS'!A:A,B77)</f>
        <v>12292.44</v>
      </c>
      <c r="H77" s="45">
        <f>SUMIFS('2023 IS'!C:C,'2023 IS'!A:A,B77)</f>
        <v>42385.13</v>
      </c>
      <c r="I77" s="45">
        <f>SUMIFS('2024 IS'!C:C,'2024 IS'!A:A,B77)</f>
        <v>93020.6</v>
      </c>
      <c r="J77" s="45">
        <f>SUMIFS('2025 IS'!C:C,'2025 IS'!A:A,B77)</f>
        <v>375</v>
      </c>
    </row>
    <row r="78" spans="2:10" x14ac:dyDescent="0.25">
      <c r="B78" s="35" t="s">
        <v>209</v>
      </c>
      <c r="C78" t="s">
        <v>207</v>
      </c>
      <c r="D78" t="str">
        <f>_xlfn.XLOOKUP(B78,'Chart of Accounts'!B:B,'Chart of Accounts'!D:D)</f>
        <v xml:space="preserve">Salaries &amp; Wages </v>
      </c>
      <c r="E78" t="s">
        <v>469</v>
      </c>
      <c r="F78" s="45">
        <f>SUMIFS('2021 IS'!C:C,'2021 IS'!A:A,B78)</f>
        <v>0</v>
      </c>
      <c r="G78" s="45">
        <f>SUMIFS('2022 IS'!C:C,'2022 IS'!A:A,B78)</f>
        <v>0</v>
      </c>
      <c r="H78" s="45">
        <f>SUMIFS('2023 IS'!C:C,'2023 IS'!A:A,B78)</f>
        <v>0</v>
      </c>
      <c r="I78" s="45">
        <f>SUMIFS('2024 IS'!C:C,'2024 IS'!A:A,B78)</f>
        <v>0</v>
      </c>
      <c r="J78" s="45">
        <f>SUMIFS('2025 IS'!C:C,'2025 IS'!A:A,B78)</f>
        <v>0</v>
      </c>
    </row>
    <row r="79" spans="2:10" x14ac:dyDescent="0.25">
      <c r="B79" s="35" t="s">
        <v>208</v>
      </c>
      <c r="C79" t="s">
        <v>207</v>
      </c>
      <c r="D79" t="str">
        <f>_xlfn.XLOOKUP(B79,'Chart of Accounts'!B:B,'Chart of Accounts'!D:D)</f>
        <v xml:space="preserve">Salaries &amp; Wages </v>
      </c>
      <c r="E79" t="s">
        <v>469</v>
      </c>
      <c r="F79" s="45">
        <f>SUMIFS('2021 IS'!C:C,'2021 IS'!A:A,B79)</f>
        <v>39107.339999999997</v>
      </c>
      <c r="G79" s="45">
        <f>SUMIFS('2022 IS'!C:C,'2022 IS'!A:A,B79)</f>
        <v>86562.94</v>
      </c>
      <c r="H79" s="45">
        <f>SUMIFS('2023 IS'!C:C,'2023 IS'!A:A,B79)</f>
        <v>42369.2</v>
      </c>
      <c r="I79" s="45">
        <f>SUMIFS('2024 IS'!C:C,'2024 IS'!A:A,B79)</f>
        <v>52290.43</v>
      </c>
      <c r="J79" s="45">
        <f>SUMIFS('2025 IS'!C:C,'2025 IS'!A:A,B79)</f>
        <v>43677.74</v>
      </c>
    </row>
    <row r="80" spans="2:10" x14ac:dyDescent="0.25">
      <c r="B80" s="35" t="s">
        <v>206</v>
      </c>
      <c r="C80" t="s">
        <v>90</v>
      </c>
      <c r="D80" t="str">
        <f>_xlfn.XLOOKUP(B80,'Chart of Accounts'!B:B,'Chart of Accounts'!D:D)</f>
        <v xml:space="preserve">Salaries &amp; Wages </v>
      </c>
      <c r="E80" t="s">
        <v>469</v>
      </c>
      <c r="F80" s="45">
        <f>SUMIFS('2021 IS'!C:C,'2021 IS'!A:A,B80)</f>
        <v>0</v>
      </c>
      <c r="G80" s="45">
        <f>SUMIFS('2022 IS'!C:C,'2022 IS'!A:A,B80)</f>
        <v>0</v>
      </c>
      <c r="H80" s="45">
        <f>SUMIFS('2023 IS'!C:C,'2023 IS'!A:A,B80)</f>
        <v>0</v>
      </c>
      <c r="I80" s="45">
        <f>SUMIFS('2024 IS'!C:C,'2024 IS'!A:A,B80)</f>
        <v>0</v>
      </c>
      <c r="J80" s="45">
        <f>SUMIFS('2025 IS'!C:C,'2025 IS'!A:A,B80)</f>
        <v>0</v>
      </c>
    </row>
    <row r="81" spans="2:10" x14ac:dyDescent="0.25">
      <c r="B81" s="35" t="s">
        <v>205</v>
      </c>
      <c r="C81" t="s">
        <v>90</v>
      </c>
      <c r="D81" t="str">
        <f>_xlfn.XLOOKUP(B81,'Chart of Accounts'!B:B,'Chart of Accounts'!D:D)</f>
        <v xml:space="preserve">Salaries &amp; Wages </v>
      </c>
      <c r="E81" t="s">
        <v>469</v>
      </c>
      <c r="F81" s="45">
        <f>SUMIFS('2021 IS'!C:C,'2021 IS'!A:A,B81)</f>
        <v>3651.78</v>
      </c>
      <c r="G81" s="45">
        <f>SUMIFS('2022 IS'!C:C,'2022 IS'!A:A,B81)</f>
        <v>2518.4</v>
      </c>
      <c r="H81" s="45">
        <f>SUMIFS('2023 IS'!C:C,'2023 IS'!A:A,B81)</f>
        <v>2659.04</v>
      </c>
      <c r="I81" s="45">
        <f>SUMIFS('2024 IS'!C:C,'2024 IS'!A:A,B81)</f>
        <v>3274.49</v>
      </c>
      <c r="J81" s="45">
        <f>SUMIFS('2025 IS'!C:C,'2025 IS'!A:A,B81)</f>
        <v>8135.74</v>
      </c>
    </row>
    <row r="82" spans="2:10" x14ac:dyDescent="0.25">
      <c r="B82" s="35" t="s">
        <v>204</v>
      </c>
      <c r="C82" t="s">
        <v>154</v>
      </c>
      <c r="D82" t="str">
        <f>_xlfn.XLOOKUP(B82,'Chart of Accounts'!B:B,'Chart of Accounts'!D:D)</f>
        <v xml:space="preserve">Salaries &amp; Wages </v>
      </c>
      <c r="E82" t="s">
        <v>469</v>
      </c>
      <c r="F82" s="45">
        <f>SUMIFS('2021 IS'!C:C,'2021 IS'!A:A,B82)</f>
        <v>0</v>
      </c>
      <c r="G82" s="45">
        <f>SUMIFS('2022 IS'!C:C,'2022 IS'!A:A,B82)</f>
        <v>0</v>
      </c>
      <c r="H82" s="45">
        <f>SUMIFS('2023 IS'!C:C,'2023 IS'!A:A,B82)</f>
        <v>0</v>
      </c>
      <c r="I82" s="45">
        <f>SUMIFS('2024 IS'!C:C,'2024 IS'!A:A,B82)</f>
        <v>0</v>
      </c>
      <c r="J82" s="45">
        <f>SUMIFS('2025 IS'!C:C,'2025 IS'!A:A,B82)</f>
        <v>0</v>
      </c>
    </row>
    <row r="83" spans="2:10" x14ac:dyDescent="0.25">
      <c r="B83" s="35" t="s">
        <v>203</v>
      </c>
      <c r="C83" t="s">
        <v>154</v>
      </c>
      <c r="D83" t="str">
        <f>_xlfn.XLOOKUP(B83,'Chart of Accounts'!B:B,'Chart of Accounts'!D:D)</f>
        <v xml:space="preserve">Salaries &amp; Wages </v>
      </c>
      <c r="E83" t="s">
        <v>469</v>
      </c>
      <c r="F83" s="45">
        <f>SUMIFS('2021 IS'!C:C,'2021 IS'!A:A,B83)</f>
        <v>0</v>
      </c>
      <c r="G83" s="45">
        <f>SUMIFS('2022 IS'!C:C,'2022 IS'!A:A,B83)</f>
        <v>0</v>
      </c>
      <c r="H83" s="45">
        <f>SUMIFS('2023 IS'!C:C,'2023 IS'!A:A,B83)</f>
        <v>0</v>
      </c>
      <c r="I83" s="45">
        <f>SUMIFS('2024 IS'!C:C,'2024 IS'!A:A,B83)</f>
        <v>0</v>
      </c>
      <c r="J83" s="45">
        <f>SUMIFS('2025 IS'!C:C,'2025 IS'!A:A,B83)</f>
        <v>0</v>
      </c>
    </row>
    <row r="84" spans="2:10" x14ac:dyDescent="0.25">
      <c r="B84" s="35" t="s">
        <v>202</v>
      </c>
      <c r="C84" t="s">
        <v>154</v>
      </c>
      <c r="D84" t="str">
        <f>_xlfn.XLOOKUP(B84,'Chart of Accounts'!B:B,'Chart of Accounts'!D:D)</f>
        <v xml:space="preserve">Salaries &amp; Wages </v>
      </c>
      <c r="E84" t="s">
        <v>469</v>
      </c>
      <c r="F84" s="45">
        <f>SUMIFS('2021 IS'!C:C,'2021 IS'!A:A,B84)</f>
        <v>1499.54</v>
      </c>
      <c r="G84" s="45">
        <f>SUMIFS('2022 IS'!C:C,'2022 IS'!A:A,B84)</f>
        <v>3308.5</v>
      </c>
      <c r="H84" s="45">
        <f>SUMIFS('2023 IS'!C:C,'2023 IS'!A:A,B84)</f>
        <v>1475.38</v>
      </c>
      <c r="I84" s="45">
        <f>SUMIFS('2024 IS'!C:C,'2024 IS'!A:A,B84)</f>
        <v>2119.06</v>
      </c>
      <c r="J84" s="45">
        <f>SUMIFS('2025 IS'!C:C,'2025 IS'!A:A,B84)</f>
        <v>1298.82</v>
      </c>
    </row>
    <row r="85" spans="2:10" x14ac:dyDescent="0.25">
      <c r="B85" s="35" t="s">
        <v>201</v>
      </c>
      <c r="C85" t="s">
        <v>88</v>
      </c>
      <c r="D85" t="str">
        <f>_xlfn.XLOOKUP(B85,'Chart of Accounts'!B:B,'Chart of Accounts'!D:D)</f>
        <v>Sales &amp; Marketing</v>
      </c>
      <c r="E85" t="s">
        <v>469</v>
      </c>
      <c r="F85" s="45">
        <f>SUMIFS('2021 IS'!C:C,'2021 IS'!A:A,B85)</f>
        <v>2201.79</v>
      </c>
      <c r="G85" s="45">
        <f>SUMIFS('2022 IS'!C:C,'2022 IS'!A:A,B85)</f>
        <v>2133.89</v>
      </c>
      <c r="H85" s="45">
        <f>SUMIFS('2023 IS'!C:C,'2023 IS'!A:A,B85)</f>
        <v>8225.6</v>
      </c>
      <c r="I85" s="45">
        <f>SUMIFS('2024 IS'!C:C,'2024 IS'!A:A,B85)</f>
        <v>6767.14</v>
      </c>
      <c r="J85" s="45">
        <f>SUMIFS('2025 IS'!C:C,'2025 IS'!A:A,B85)</f>
        <v>20636.54</v>
      </c>
    </row>
    <row r="86" spans="2:10" x14ac:dyDescent="0.25">
      <c r="B86" s="35" t="s">
        <v>200</v>
      </c>
      <c r="C86" t="s">
        <v>88</v>
      </c>
      <c r="D86" t="str">
        <f>_xlfn.XLOOKUP(B86,'Chart of Accounts'!B:B,'Chart of Accounts'!D:D)</f>
        <v>Sales &amp; Marketing</v>
      </c>
      <c r="E86" t="s">
        <v>469</v>
      </c>
      <c r="F86" s="45">
        <f>SUMIFS('2021 IS'!C:C,'2021 IS'!A:A,B86)</f>
        <v>0</v>
      </c>
      <c r="G86" s="45">
        <f>SUMIFS('2022 IS'!C:C,'2022 IS'!A:A,B86)</f>
        <v>0</v>
      </c>
      <c r="H86" s="45">
        <f>SUMIFS('2023 IS'!C:C,'2023 IS'!A:A,B86)</f>
        <v>0</v>
      </c>
      <c r="I86" s="45">
        <f>SUMIFS('2024 IS'!C:C,'2024 IS'!A:A,B86)</f>
        <v>0</v>
      </c>
      <c r="J86" s="45">
        <f>SUMIFS('2025 IS'!C:C,'2025 IS'!A:A,B86)</f>
        <v>0</v>
      </c>
    </row>
    <row r="87" spans="2:10" x14ac:dyDescent="0.25">
      <c r="B87" s="35" t="s">
        <v>199</v>
      </c>
      <c r="C87" t="s">
        <v>144</v>
      </c>
      <c r="D87" t="str">
        <f>_xlfn.XLOOKUP(B87,'Chart of Accounts'!B:B,'Chart of Accounts'!D:D)</f>
        <v>Sales &amp; Marketing</v>
      </c>
      <c r="E87" t="s">
        <v>469</v>
      </c>
      <c r="F87" s="45">
        <f>SUMIFS('2021 IS'!C:C,'2021 IS'!A:A,B87)</f>
        <v>0</v>
      </c>
      <c r="G87" s="45">
        <f>SUMIFS('2022 IS'!C:C,'2022 IS'!A:A,B87)</f>
        <v>0</v>
      </c>
      <c r="H87" s="45">
        <f>SUMIFS('2023 IS'!C:C,'2023 IS'!A:A,B87)</f>
        <v>0</v>
      </c>
      <c r="I87" s="45">
        <f>SUMIFS('2024 IS'!C:C,'2024 IS'!A:A,B87)</f>
        <v>2272.9899999999998</v>
      </c>
      <c r="J87" s="45">
        <f>SUMIFS('2025 IS'!C:C,'2025 IS'!A:A,B87)</f>
        <v>1752.67</v>
      </c>
    </row>
    <row r="88" spans="2:10" x14ac:dyDescent="0.25">
      <c r="B88" s="35" t="s">
        <v>198</v>
      </c>
      <c r="C88" t="s">
        <v>144</v>
      </c>
      <c r="D88" t="str">
        <f>_xlfn.XLOOKUP(B88,'Chart of Accounts'!B:B,'Chart of Accounts'!D:D)</f>
        <v>Sales &amp; Marketing</v>
      </c>
      <c r="E88" t="s">
        <v>469</v>
      </c>
      <c r="F88" s="45">
        <f>SUMIFS('2021 IS'!C:C,'2021 IS'!A:A,B88)</f>
        <v>0</v>
      </c>
      <c r="G88" s="45">
        <f>SUMIFS('2022 IS'!C:C,'2022 IS'!A:A,B88)</f>
        <v>0</v>
      </c>
      <c r="H88" s="45">
        <f>SUMIFS('2023 IS'!C:C,'2023 IS'!A:A,B88)</f>
        <v>0</v>
      </c>
      <c r="I88" s="45">
        <f>SUMIFS('2024 IS'!C:C,'2024 IS'!A:A,B88)</f>
        <v>0</v>
      </c>
      <c r="J88" s="45">
        <f>SUMIFS('2025 IS'!C:C,'2025 IS'!A:A,B88)</f>
        <v>0</v>
      </c>
    </row>
    <row r="89" spans="2:10" x14ac:dyDescent="0.25">
      <c r="B89" s="35" t="s">
        <v>197</v>
      </c>
      <c r="C89" t="s">
        <v>195</v>
      </c>
      <c r="D89" t="str">
        <f>_xlfn.XLOOKUP(B89,'Chart of Accounts'!B:B,'Chart of Accounts'!D:D)</f>
        <v>Sales &amp; Marketing</v>
      </c>
      <c r="E89" t="s">
        <v>469</v>
      </c>
      <c r="F89" s="45">
        <f>SUMIFS('2021 IS'!C:C,'2021 IS'!A:A,B89)</f>
        <v>0</v>
      </c>
      <c r="G89" s="45">
        <f>SUMIFS('2022 IS'!C:C,'2022 IS'!A:A,B89)</f>
        <v>0</v>
      </c>
      <c r="H89" s="45">
        <f>SUMIFS('2023 IS'!C:C,'2023 IS'!A:A,B89)</f>
        <v>0</v>
      </c>
      <c r="I89" s="45">
        <f>SUMIFS('2024 IS'!C:C,'2024 IS'!A:A,B89)</f>
        <v>0</v>
      </c>
      <c r="J89" s="45">
        <f>SUMIFS('2025 IS'!C:C,'2025 IS'!A:A,B89)</f>
        <v>0</v>
      </c>
    </row>
    <row r="90" spans="2:10" x14ac:dyDescent="0.25">
      <c r="B90" s="35" t="s">
        <v>196</v>
      </c>
      <c r="C90" t="s">
        <v>195</v>
      </c>
      <c r="D90" t="str">
        <f>_xlfn.XLOOKUP(B90,'Chart of Accounts'!B:B,'Chart of Accounts'!D:D)</f>
        <v>Sales &amp; Marketing</v>
      </c>
      <c r="E90" t="s">
        <v>469</v>
      </c>
      <c r="F90" s="45">
        <f>SUMIFS('2021 IS'!C:C,'2021 IS'!A:A,B90)</f>
        <v>12295.24</v>
      </c>
      <c r="G90" s="45">
        <f>SUMIFS('2022 IS'!C:C,'2022 IS'!A:A,B90)</f>
        <v>6540</v>
      </c>
      <c r="H90" s="45">
        <f>SUMIFS('2023 IS'!C:C,'2023 IS'!A:A,B90)</f>
        <v>13428.69</v>
      </c>
      <c r="I90" s="45">
        <f>SUMIFS('2024 IS'!C:C,'2024 IS'!A:A,B90)</f>
        <v>7035.76</v>
      </c>
      <c r="J90" s="45">
        <f>SUMIFS('2025 IS'!C:C,'2025 IS'!A:A,B90)</f>
        <v>6540</v>
      </c>
    </row>
    <row r="91" spans="2:10" x14ac:dyDescent="0.25">
      <c r="B91" s="35" t="s">
        <v>194</v>
      </c>
      <c r="C91" t="s">
        <v>193</v>
      </c>
      <c r="D91" t="str">
        <f>_xlfn.XLOOKUP(B91,'Chart of Accounts'!B:B,'Chart of Accounts'!D:D)</f>
        <v>Sales &amp; Marketing</v>
      </c>
      <c r="E91" t="s">
        <v>469</v>
      </c>
      <c r="F91" s="45">
        <f>SUMIFS('2021 IS'!C:C,'2021 IS'!A:A,B91)</f>
        <v>0</v>
      </c>
      <c r="G91" s="45">
        <f>SUMIFS('2022 IS'!C:C,'2022 IS'!A:A,B91)</f>
        <v>0</v>
      </c>
      <c r="H91" s="45">
        <f>SUMIFS('2023 IS'!C:C,'2023 IS'!A:A,B91)</f>
        <v>549.36</v>
      </c>
      <c r="I91" s="45">
        <f>SUMIFS('2024 IS'!C:C,'2024 IS'!A:A,B91)</f>
        <v>0</v>
      </c>
      <c r="J91" s="45">
        <f>SUMIFS('2025 IS'!C:C,'2025 IS'!A:A,B91)</f>
        <v>0</v>
      </c>
    </row>
    <row r="92" spans="2:10" x14ac:dyDescent="0.25">
      <c r="B92" s="35" t="s">
        <v>192</v>
      </c>
      <c r="C92" t="s">
        <v>191</v>
      </c>
      <c r="D92" t="str">
        <f>_xlfn.XLOOKUP(B92,'Chart of Accounts'!B:B,'Chart of Accounts'!D:D)</f>
        <v>Sales &amp; Marketing</v>
      </c>
      <c r="E92" t="s">
        <v>469</v>
      </c>
      <c r="F92" s="45">
        <f>SUMIFS('2021 IS'!C:C,'2021 IS'!A:A,B92)</f>
        <v>224.58</v>
      </c>
      <c r="G92" s="45">
        <f>SUMIFS('2022 IS'!C:C,'2022 IS'!A:A,B92)</f>
        <v>661.43</v>
      </c>
      <c r="H92" s="45">
        <f>SUMIFS('2023 IS'!C:C,'2023 IS'!A:A,B92)</f>
        <v>141.25</v>
      </c>
      <c r="I92" s="45">
        <f>SUMIFS('2024 IS'!C:C,'2024 IS'!A:A,B92)</f>
        <v>517.87</v>
      </c>
      <c r="J92" s="45">
        <f>SUMIFS('2025 IS'!C:C,'2025 IS'!A:A,B92)</f>
        <v>408.75</v>
      </c>
    </row>
    <row r="93" spans="2:10" x14ac:dyDescent="0.25">
      <c r="B93" s="35" t="s">
        <v>190</v>
      </c>
      <c r="C93" t="s">
        <v>189</v>
      </c>
      <c r="D93" t="str">
        <f>_xlfn.XLOOKUP(B93,'Chart of Accounts'!B:B,'Chart of Accounts'!D:D)</f>
        <v>Sales &amp; Marketing</v>
      </c>
      <c r="E93" t="s">
        <v>469</v>
      </c>
      <c r="F93" s="45">
        <f>SUMIFS('2021 IS'!C:C,'2021 IS'!A:A,B93)</f>
        <v>0</v>
      </c>
      <c r="G93" s="45">
        <f>SUMIFS('2022 IS'!C:C,'2022 IS'!A:A,B93)</f>
        <v>0</v>
      </c>
      <c r="H93" s="45">
        <f>SUMIFS('2023 IS'!C:C,'2023 IS'!A:A,B93)</f>
        <v>0</v>
      </c>
      <c r="I93" s="45">
        <f>SUMIFS('2024 IS'!C:C,'2024 IS'!A:A,B93)</f>
        <v>0</v>
      </c>
      <c r="J93" s="45">
        <f>SUMIFS('2025 IS'!C:C,'2025 IS'!A:A,B93)</f>
        <v>0</v>
      </c>
    </row>
    <row r="94" spans="2:10" x14ac:dyDescent="0.25">
      <c r="B94" s="35" t="s">
        <v>188</v>
      </c>
      <c r="C94" t="s">
        <v>187</v>
      </c>
      <c r="D94" t="str">
        <f>_xlfn.XLOOKUP(B94,'Chart of Accounts'!B:B,'Chart of Accounts'!D:D)</f>
        <v>Sales &amp; Marketing</v>
      </c>
      <c r="E94" t="s">
        <v>469</v>
      </c>
      <c r="F94" s="45">
        <f>SUMIFS('2021 IS'!C:C,'2021 IS'!A:A,B94)</f>
        <v>9699.67</v>
      </c>
      <c r="G94" s="45">
        <f>SUMIFS('2022 IS'!C:C,'2022 IS'!A:A,B94)</f>
        <v>27266.76</v>
      </c>
      <c r="H94" s="45">
        <f>SUMIFS('2023 IS'!C:C,'2023 IS'!A:A,B94)</f>
        <v>-14902.33</v>
      </c>
      <c r="I94" s="45">
        <f>SUMIFS('2024 IS'!C:C,'2024 IS'!A:A,B94)</f>
        <v>11314.62</v>
      </c>
      <c r="J94" s="45">
        <f>SUMIFS('2025 IS'!C:C,'2025 IS'!A:A,B94)</f>
        <v>113.1</v>
      </c>
    </row>
    <row r="95" spans="2:10" x14ac:dyDescent="0.25">
      <c r="B95" s="35" t="s">
        <v>186</v>
      </c>
      <c r="C95" t="s">
        <v>185</v>
      </c>
      <c r="D95" t="str">
        <f>_xlfn.XLOOKUP(B95,'Chart of Accounts'!B:B,'Chart of Accounts'!D:D)</f>
        <v>Sales &amp; Marketing</v>
      </c>
      <c r="E95" t="s">
        <v>469</v>
      </c>
      <c r="F95" s="45">
        <f>SUMIFS('2021 IS'!C:C,'2021 IS'!A:A,B95)</f>
        <v>0</v>
      </c>
      <c r="G95" s="45">
        <f>SUMIFS('2022 IS'!C:C,'2022 IS'!A:A,B95)</f>
        <v>0</v>
      </c>
      <c r="H95" s="45">
        <f>SUMIFS('2023 IS'!C:C,'2023 IS'!A:A,B95)</f>
        <v>0</v>
      </c>
      <c r="I95" s="45">
        <f>SUMIFS('2024 IS'!C:C,'2024 IS'!A:A,B95)</f>
        <v>0</v>
      </c>
      <c r="J95" s="45">
        <f>SUMIFS('2025 IS'!C:C,'2025 IS'!A:A,B95)</f>
        <v>0</v>
      </c>
    </row>
    <row r="96" spans="2:10" x14ac:dyDescent="0.25">
      <c r="B96" s="35" t="s">
        <v>184</v>
      </c>
      <c r="C96" t="s">
        <v>183</v>
      </c>
      <c r="D96" t="str">
        <f>_xlfn.XLOOKUP(B96,'Chart of Accounts'!B:B,'Chart of Accounts'!D:D)</f>
        <v>Sales &amp; Marketing</v>
      </c>
      <c r="E96" t="s">
        <v>469</v>
      </c>
      <c r="F96" s="45">
        <f>SUMIFS('2021 IS'!C:C,'2021 IS'!A:A,B96)</f>
        <v>0</v>
      </c>
      <c r="G96" s="45">
        <f>SUMIFS('2022 IS'!C:C,'2022 IS'!A:A,B96)</f>
        <v>0</v>
      </c>
      <c r="H96" s="45">
        <f>SUMIFS('2023 IS'!C:C,'2023 IS'!A:A,B96)</f>
        <v>0</v>
      </c>
      <c r="I96" s="45">
        <f>SUMIFS('2024 IS'!C:C,'2024 IS'!A:A,B96)</f>
        <v>596.57000000000005</v>
      </c>
      <c r="J96" s="45">
        <f>SUMIFS('2025 IS'!C:C,'2025 IS'!A:A,B96)</f>
        <v>0</v>
      </c>
    </row>
    <row r="97" spans="2:10" x14ac:dyDescent="0.25">
      <c r="B97" s="35" t="s">
        <v>182</v>
      </c>
      <c r="C97" t="s">
        <v>181</v>
      </c>
      <c r="D97" t="str">
        <f>_xlfn.XLOOKUP(B97,'Chart of Accounts'!B:B,'Chart of Accounts'!D:D)</f>
        <v>Sales &amp; Marketing</v>
      </c>
      <c r="E97" t="s">
        <v>469</v>
      </c>
      <c r="F97" s="45">
        <f>SUMIFS('2021 IS'!C:C,'2021 IS'!A:A,B97)</f>
        <v>0</v>
      </c>
      <c r="G97" s="45">
        <f>SUMIFS('2022 IS'!C:C,'2022 IS'!A:A,B97)</f>
        <v>315.02</v>
      </c>
      <c r="H97" s="45">
        <f>SUMIFS('2023 IS'!C:C,'2023 IS'!A:A,B97)</f>
        <v>0</v>
      </c>
      <c r="I97" s="45">
        <f>SUMIFS('2024 IS'!C:C,'2024 IS'!A:A,B97)</f>
        <v>0</v>
      </c>
      <c r="J97" s="45">
        <f>SUMIFS('2025 IS'!C:C,'2025 IS'!A:A,B97)</f>
        <v>0</v>
      </c>
    </row>
    <row r="98" spans="2:10" x14ac:dyDescent="0.25">
      <c r="B98" s="35" t="s">
        <v>180</v>
      </c>
      <c r="C98" t="s">
        <v>179</v>
      </c>
      <c r="D98" t="str">
        <f>_xlfn.XLOOKUP(B98,'Chart of Accounts'!B:B,'Chart of Accounts'!D:D)</f>
        <v>Sales &amp; Marketing</v>
      </c>
      <c r="E98" t="s">
        <v>469</v>
      </c>
      <c r="F98" s="45">
        <f>SUMIFS('2021 IS'!C:C,'2021 IS'!A:A,B98)</f>
        <v>0</v>
      </c>
      <c r="G98" s="45">
        <f>SUMIFS('2022 IS'!C:C,'2022 IS'!A:A,B98)</f>
        <v>117.25</v>
      </c>
      <c r="H98" s="45">
        <f>SUMIFS('2023 IS'!C:C,'2023 IS'!A:A,B98)</f>
        <v>0</v>
      </c>
      <c r="I98" s="45">
        <f>SUMIFS('2024 IS'!C:C,'2024 IS'!A:A,B98)</f>
        <v>369.33</v>
      </c>
      <c r="J98" s="45">
        <f>SUMIFS('2025 IS'!C:C,'2025 IS'!A:A,B98)</f>
        <v>0</v>
      </c>
    </row>
    <row r="99" spans="2:10" x14ac:dyDescent="0.25">
      <c r="B99" s="35" t="s">
        <v>178</v>
      </c>
      <c r="C99" t="s">
        <v>177</v>
      </c>
      <c r="D99" t="str">
        <f>_xlfn.XLOOKUP(B99,'Chart of Accounts'!B:B,'Chart of Accounts'!D:D)</f>
        <v>Sales &amp; Marketing</v>
      </c>
      <c r="E99" t="s">
        <v>469</v>
      </c>
      <c r="F99" s="45">
        <f>SUMIFS('2021 IS'!C:C,'2021 IS'!A:A,B99)</f>
        <v>0</v>
      </c>
      <c r="G99" s="45">
        <f>SUMIFS('2022 IS'!C:C,'2022 IS'!A:A,B99)</f>
        <v>0</v>
      </c>
      <c r="H99" s="45">
        <f>SUMIFS('2023 IS'!C:C,'2023 IS'!A:A,B99)</f>
        <v>0</v>
      </c>
      <c r="I99" s="45">
        <f>SUMIFS('2024 IS'!C:C,'2024 IS'!A:A,B99)</f>
        <v>0</v>
      </c>
      <c r="J99" s="45">
        <f>SUMIFS('2025 IS'!C:C,'2025 IS'!A:A,B99)</f>
        <v>0</v>
      </c>
    </row>
    <row r="100" spans="2:10" x14ac:dyDescent="0.25">
      <c r="B100" s="35" t="s">
        <v>176</v>
      </c>
      <c r="C100" t="s">
        <v>175</v>
      </c>
      <c r="D100" t="str">
        <f>_xlfn.XLOOKUP(B100,'Chart of Accounts'!B:B,'Chart of Accounts'!D:D)</f>
        <v>Sales &amp; Marketing</v>
      </c>
      <c r="E100" t="s">
        <v>469</v>
      </c>
      <c r="F100" s="45">
        <f>SUMIFS('2021 IS'!C:C,'2021 IS'!A:A,B100)</f>
        <v>0</v>
      </c>
      <c r="G100" s="45">
        <f>SUMIFS('2022 IS'!C:C,'2022 IS'!A:A,B100)</f>
        <v>0</v>
      </c>
      <c r="H100" s="45">
        <f>SUMIFS('2023 IS'!C:C,'2023 IS'!A:A,B100)</f>
        <v>0</v>
      </c>
      <c r="I100" s="45">
        <f>SUMIFS('2024 IS'!C:C,'2024 IS'!A:A,B100)</f>
        <v>0</v>
      </c>
      <c r="J100" s="45">
        <f>SUMIFS('2025 IS'!C:C,'2025 IS'!A:A,B100)</f>
        <v>0</v>
      </c>
    </row>
    <row r="101" spans="2:10" x14ac:dyDescent="0.25">
      <c r="B101" s="35" t="s">
        <v>174</v>
      </c>
      <c r="C101" t="s">
        <v>173</v>
      </c>
      <c r="D101" t="str">
        <f>_xlfn.XLOOKUP(B101,'Chart of Accounts'!B:B,'Chart of Accounts'!D:D)</f>
        <v>Sales &amp; Marketing</v>
      </c>
      <c r="E101" t="s">
        <v>469</v>
      </c>
      <c r="F101" s="45">
        <f>SUMIFS('2021 IS'!C:C,'2021 IS'!A:A,B101)</f>
        <v>0</v>
      </c>
      <c r="G101" s="45">
        <f>SUMIFS('2022 IS'!C:C,'2022 IS'!A:A,B101)</f>
        <v>0</v>
      </c>
      <c r="H101" s="45">
        <f>SUMIFS('2023 IS'!C:C,'2023 IS'!A:A,B101)</f>
        <v>0</v>
      </c>
      <c r="I101" s="45">
        <f>SUMIFS('2024 IS'!C:C,'2024 IS'!A:A,B101)</f>
        <v>0</v>
      </c>
      <c r="J101" s="45">
        <f>SUMIFS('2025 IS'!C:C,'2025 IS'!A:A,B101)</f>
        <v>0</v>
      </c>
    </row>
    <row r="102" spans="2:10" x14ac:dyDescent="0.25">
      <c r="B102" s="35" t="s">
        <v>172</v>
      </c>
      <c r="C102" t="s">
        <v>171</v>
      </c>
      <c r="D102" t="str">
        <f>_xlfn.XLOOKUP(B102,'Chart of Accounts'!B:B,'Chart of Accounts'!D:D)</f>
        <v>Sales &amp; Marketing</v>
      </c>
      <c r="E102" t="s">
        <v>469</v>
      </c>
      <c r="F102" s="45">
        <f>SUMIFS('2021 IS'!C:C,'2021 IS'!A:A,B102)</f>
        <v>0</v>
      </c>
      <c r="G102" s="45">
        <f>SUMIFS('2022 IS'!C:C,'2022 IS'!A:A,B102)</f>
        <v>0</v>
      </c>
      <c r="H102" s="45">
        <f>SUMIFS('2023 IS'!C:C,'2023 IS'!A:A,B102)</f>
        <v>0</v>
      </c>
      <c r="I102" s="45">
        <f>SUMIFS('2024 IS'!C:C,'2024 IS'!A:A,B102)</f>
        <v>0</v>
      </c>
      <c r="J102" s="45">
        <f>SUMIFS('2025 IS'!C:C,'2025 IS'!A:A,B102)</f>
        <v>0</v>
      </c>
    </row>
    <row r="103" spans="2:10" x14ac:dyDescent="0.25">
      <c r="B103" s="35" t="s">
        <v>168</v>
      </c>
      <c r="C103" t="s">
        <v>166</v>
      </c>
      <c r="D103" t="str">
        <f>_xlfn.XLOOKUP(B103,'Chart of Accounts'!B:B,'Chart of Accounts'!D:D)</f>
        <v xml:space="preserve">Salaries &amp; Wages </v>
      </c>
      <c r="E103" t="s">
        <v>468</v>
      </c>
      <c r="F103" s="45">
        <f>SUMIFS('2021 IS'!C:C,'2021 IS'!A:A,B103)</f>
        <v>0</v>
      </c>
      <c r="G103" s="45">
        <f>SUMIFS('2022 IS'!C:C,'2022 IS'!A:A,B103)</f>
        <v>0</v>
      </c>
      <c r="H103" s="45">
        <f>SUMIFS('2023 IS'!C:C,'2023 IS'!A:A,B103)</f>
        <v>0</v>
      </c>
      <c r="I103" s="45">
        <f>SUMIFS('2024 IS'!C:C,'2024 IS'!A:A,B103)</f>
        <v>0</v>
      </c>
      <c r="J103" s="45">
        <f>SUMIFS('2025 IS'!C:C,'2025 IS'!A:A,B103)</f>
        <v>0</v>
      </c>
    </row>
    <row r="104" spans="2:10" x14ac:dyDescent="0.25">
      <c r="B104" s="35" t="s">
        <v>167</v>
      </c>
      <c r="C104" t="s">
        <v>166</v>
      </c>
      <c r="D104" t="str">
        <f>_xlfn.XLOOKUP(B104,'Chart of Accounts'!B:B,'Chart of Accounts'!D:D)</f>
        <v xml:space="preserve">Salaries &amp; Wages </v>
      </c>
      <c r="E104" t="s">
        <v>468</v>
      </c>
      <c r="F104" s="45">
        <f>SUMIFS('2021 IS'!C:C,'2021 IS'!A:A,B104)</f>
        <v>31846.15</v>
      </c>
      <c r="G104" s="45">
        <f>SUMIFS('2022 IS'!C:C,'2022 IS'!A:A,B104)</f>
        <v>31375.39</v>
      </c>
      <c r="H104" s="45">
        <f>SUMIFS('2023 IS'!C:C,'2023 IS'!A:A,B104)</f>
        <v>9615.4</v>
      </c>
      <c r="I104" s="45">
        <f>SUMIFS('2024 IS'!C:C,'2024 IS'!A:A,B104)</f>
        <v>8884.6299999999992</v>
      </c>
      <c r="J104" s="45">
        <f>SUMIFS('2025 IS'!C:C,'2025 IS'!A:A,B104)</f>
        <v>0</v>
      </c>
    </row>
    <row r="105" spans="2:10" x14ac:dyDescent="0.25">
      <c r="B105" s="35" t="s">
        <v>165</v>
      </c>
      <c r="C105" t="s">
        <v>163</v>
      </c>
      <c r="D105" t="str">
        <f>_xlfn.XLOOKUP(B105,'Chart of Accounts'!B:B,'Chart of Accounts'!D:D)</f>
        <v xml:space="preserve">Salaries &amp; Wages </v>
      </c>
      <c r="E105" t="s">
        <v>468</v>
      </c>
      <c r="F105" s="45">
        <f>SUMIFS('2021 IS'!C:C,'2021 IS'!A:A,B105)</f>
        <v>0</v>
      </c>
      <c r="G105" s="45">
        <f>SUMIFS('2022 IS'!C:C,'2022 IS'!A:A,B105)</f>
        <v>0</v>
      </c>
      <c r="H105" s="45">
        <f>SUMIFS('2023 IS'!C:C,'2023 IS'!A:A,B105)</f>
        <v>0</v>
      </c>
      <c r="I105" s="45">
        <f>SUMIFS('2024 IS'!C:C,'2024 IS'!A:A,B105)</f>
        <v>0</v>
      </c>
      <c r="J105" s="45">
        <f>SUMIFS('2025 IS'!C:C,'2025 IS'!A:A,B105)</f>
        <v>0</v>
      </c>
    </row>
    <row r="106" spans="2:10" x14ac:dyDescent="0.25">
      <c r="B106" s="35" t="s">
        <v>164</v>
      </c>
      <c r="C106" t="s">
        <v>163</v>
      </c>
      <c r="D106" t="str">
        <f>_xlfn.XLOOKUP(B106,'Chart of Accounts'!B:B,'Chart of Accounts'!D:D)</f>
        <v xml:space="preserve">Salaries &amp; Wages </v>
      </c>
      <c r="E106" t="s">
        <v>468</v>
      </c>
      <c r="F106" s="45">
        <f>SUMIFS('2021 IS'!C:C,'2021 IS'!A:A,B106)</f>
        <v>30458.94</v>
      </c>
      <c r="G106" s="45">
        <f>SUMIFS('2022 IS'!C:C,'2022 IS'!A:A,B106)</f>
        <v>32168.240000000002</v>
      </c>
      <c r="H106" s="45">
        <f>SUMIFS('2023 IS'!C:C,'2023 IS'!A:A,B106)</f>
        <v>30782.53</v>
      </c>
      <c r="I106" s="45">
        <f>SUMIFS('2024 IS'!C:C,'2024 IS'!A:A,B106)</f>
        <v>32835.83</v>
      </c>
      <c r="J106" s="45">
        <f>SUMIFS('2025 IS'!C:C,'2025 IS'!A:A,B106)</f>
        <v>41596.21</v>
      </c>
    </row>
    <row r="107" spans="2:10" x14ac:dyDescent="0.25">
      <c r="B107" s="35" t="s">
        <v>162</v>
      </c>
      <c r="C107" t="s">
        <v>160</v>
      </c>
      <c r="D107" t="str">
        <f>_xlfn.XLOOKUP(B107,'Chart of Accounts'!B:B,'Chart of Accounts'!D:D)</f>
        <v>Directors Fees</v>
      </c>
      <c r="E107" t="s">
        <v>468</v>
      </c>
      <c r="F107" s="45">
        <f>SUMIFS('2021 IS'!C:C,'2021 IS'!A:A,B107)</f>
        <v>0</v>
      </c>
      <c r="G107" s="45">
        <f>SUMIFS('2022 IS'!C:C,'2022 IS'!A:A,B107)</f>
        <v>0</v>
      </c>
      <c r="H107" s="45">
        <f>SUMIFS('2023 IS'!C:C,'2023 IS'!A:A,B107)</f>
        <v>0</v>
      </c>
      <c r="I107" s="45">
        <f>SUMIFS('2024 IS'!C:C,'2024 IS'!A:A,B107)</f>
        <v>0</v>
      </c>
      <c r="J107" s="45">
        <f>SUMIFS('2025 IS'!C:C,'2025 IS'!A:A,B107)</f>
        <v>0</v>
      </c>
    </row>
    <row r="108" spans="2:10" x14ac:dyDescent="0.25">
      <c r="B108" s="35" t="s">
        <v>161</v>
      </c>
      <c r="C108" t="s">
        <v>160</v>
      </c>
      <c r="D108" t="str">
        <f>_xlfn.XLOOKUP(B108,'Chart of Accounts'!B:B,'Chart of Accounts'!D:D)</f>
        <v>Directors Fees</v>
      </c>
      <c r="E108" t="s">
        <v>468</v>
      </c>
      <c r="F108" s="45">
        <f>SUMIFS('2021 IS'!C:C,'2021 IS'!A:A,B108)</f>
        <v>15923.11</v>
      </c>
      <c r="G108" s="45">
        <f>SUMIFS('2022 IS'!C:C,'2022 IS'!A:A,B108)</f>
        <v>15230.8</v>
      </c>
      <c r="H108" s="45">
        <f>SUMIFS('2023 IS'!C:C,'2023 IS'!A:A,B108)</f>
        <v>19384.64</v>
      </c>
      <c r="I108" s="45">
        <f>SUMIFS('2024 IS'!C:C,'2024 IS'!A:A,B108)</f>
        <v>20307.71</v>
      </c>
      <c r="J108" s="45">
        <f>SUMIFS('2025 IS'!C:C,'2025 IS'!A:A,B108)</f>
        <v>20307.71</v>
      </c>
    </row>
    <row r="109" spans="2:10" x14ac:dyDescent="0.25">
      <c r="B109" s="35" t="s">
        <v>159</v>
      </c>
      <c r="C109" t="s">
        <v>90</v>
      </c>
      <c r="D109" t="str">
        <f>_xlfn.XLOOKUP(B109,'Chart of Accounts'!B:B,'Chart of Accounts'!D:D)</f>
        <v xml:space="preserve">Salaries &amp; Wages </v>
      </c>
      <c r="E109" t="s">
        <v>468</v>
      </c>
      <c r="F109" s="45">
        <f>SUMIFS('2021 IS'!C:C,'2021 IS'!A:A,B109)</f>
        <v>0</v>
      </c>
      <c r="G109" s="45">
        <f>SUMIFS('2022 IS'!C:C,'2022 IS'!A:A,B109)</f>
        <v>0</v>
      </c>
      <c r="H109" s="45">
        <f>SUMIFS('2023 IS'!C:C,'2023 IS'!A:A,B109)</f>
        <v>0</v>
      </c>
      <c r="I109" s="45">
        <f>SUMIFS('2024 IS'!C:C,'2024 IS'!A:A,B109)</f>
        <v>0</v>
      </c>
      <c r="J109" s="45">
        <f>SUMIFS('2025 IS'!C:C,'2025 IS'!A:A,B109)</f>
        <v>0</v>
      </c>
    </row>
    <row r="110" spans="2:10" x14ac:dyDescent="0.25">
      <c r="B110" s="35" t="s">
        <v>158</v>
      </c>
      <c r="C110" t="s">
        <v>90</v>
      </c>
      <c r="D110" t="str">
        <f>_xlfn.XLOOKUP(B110,'Chart of Accounts'!B:B,'Chart of Accounts'!D:D)</f>
        <v xml:space="preserve">Salaries &amp; Wages </v>
      </c>
      <c r="E110" t="s">
        <v>468</v>
      </c>
      <c r="F110" s="45">
        <f>SUMIFS('2021 IS'!C:C,'2021 IS'!A:A,B110)</f>
        <v>0</v>
      </c>
      <c r="G110" s="45">
        <f>SUMIFS('2022 IS'!C:C,'2022 IS'!A:A,B110)</f>
        <v>0</v>
      </c>
      <c r="H110" s="45">
        <f>SUMIFS('2023 IS'!C:C,'2023 IS'!A:A,B110)</f>
        <v>0</v>
      </c>
      <c r="I110" s="45">
        <f>SUMIFS('2024 IS'!C:C,'2024 IS'!A:A,B110)</f>
        <v>0</v>
      </c>
      <c r="J110" s="45">
        <f>SUMIFS('2025 IS'!C:C,'2025 IS'!A:A,B110)</f>
        <v>0</v>
      </c>
    </row>
    <row r="111" spans="2:10" x14ac:dyDescent="0.25">
      <c r="B111" s="35" t="s">
        <v>157</v>
      </c>
      <c r="C111" t="s">
        <v>90</v>
      </c>
      <c r="D111" t="str">
        <f>_xlfn.XLOOKUP(B111,'Chart of Accounts'!B:B,'Chart of Accounts'!D:D)</f>
        <v xml:space="preserve">Salaries &amp; Wages </v>
      </c>
      <c r="E111" t="s">
        <v>468</v>
      </c>
      <c r="F111" s="45">
        <f>SUMIFS('2021 IS'!C:C,'2021 IS'!A:A,B111)</f>
        <v>1839.01</v>
      </c>
      <c r="G111" s="45">
        <f>SUMIFS('2022 IS'!C:C,'2022 IS'!A:A,B111)</f>
        <v>2795.63</v>
      </c>
      <c r="H111" s="45">
        <f>SUMIFS('2023 IS'!C:C,'2023 IS'!A:A,B111)</f>
        <v>0</v>
      </c>
      <c r="I111" s="45">
        <f>SUMIFS('2024 IS'!C:C,'2024 IS'!A:A,B111)</f>
        <v>0</v>
      </c>
      <c r="J111" s="45">
        <f>SUMIFS('2025 IS'!C:C,'2025 IS'!A:A,B111)</f>
        <v>0</v>
      </c>
    </row>
    <row r="112" spans="2:10" x14ac:dyDescent="0.25">
      <c r="B112" s="35" t="s">
        <v>156</v>
      </c>
      <c r="C112" t="s">
        <v>154</v>
      </c>
      <c r="D112" t="str">
        <f>_xlfn.XLOOKUP(B112,'Chart of Accounts'!B:B,'Chart of Accounts'!D:D)</f>
        <v xml:space="preserve">Salaries &amp; Wages </v>
      </c>
      <c r="E112" t="s">
        <v>468</v>
      </c>
      <c r="F112" s="45">
        <f>SUMIFS('2021 IS'!C:C,'2021 IS'!A:A,B112)</f>
        <v>0</v>
      </c>
      <c r="G112" s="45">
        <f>SUMIFS('2022 IS'!C:C,'2022 IS'!A:A,B112)</f>
        <v>0</v>
      </c>
      <c r="H112" s="45">
        <f>SUMIFS('2023 IS'!C:C,'2023 IS'!A:A,B112)</f>
        <v>0</v>
      </c>
      <c r="I112" s="45">
        <f>SUMIFS('2024 IS'!C:C,'2024 IS'!A:A,B112)</f>
        <v>0</v>
      </c>
      <c r="J112" s="45">
        <f>SUMIFS('2025 IS'!C:C,'2025 IS'!A:A,B112)</f>
        <v>0</v>
      </c>
    </row>
    <row r="113" spans="2:10" x14ac:dyDescent="0.25">
      <c r="B113" s="35" t="s">
        <v>155</v>
      </c>
      <c r="C113" t="s">
        <v>154</v>
      </c>
      <c r="D113" t="str">
        <f>_xlfn.XLOOKUP(B113,'Chart of Accounts'!B:B,'Chart of Accounts'!D:D)</f>
        <v xml:space="preserve">Salaries &amp; Wages </v>
      </c>
      <c r="E113" t="s">
        <v>468</v>
      </c>
      <c r="F113" s="45">
        <f>SUMIFS('2021 IS'!C:C,'2021 IS'!A:A,B113)</f>
        <v>4777.6099999999997</v>
      </c>
      <c r="G113" s="45">
        <f>SUMIFS('2022 IS'!C:C,'2022 IS'!A:A,B113)</f>
        <v>5736.93</v>
      </c>
      <c r="H113" s="45">
        <f>SUMIFS('2023 IS'!C:C,'2023 IS'!A:A,B113)</f>
        <v>4758.16</v>
      </c>
      <c r="I113" s="45">
        <f>SUMIFS('2024 IS'!C:C,'2024 IS'!A:A,B113)</f>
        <v>4859.59</v>
      </c>
      <c r="J113" s="45">
        <f>SUMIFS('2025 IS'!C:C,'2025 IS'!A:A,B113)</f>
        <v>4844.3500000000004</v>
      </c>
    </row>
    <row r="114" spans="2:10" x14ac:dyDescent="0.25">
      <c r="B114" s="35" t="s">
        <v>153</v>
      </c>
      <c r="C114" t="s">
        <v>152</v>
      </c>
      <c r="D114" t="str">
        <f>_xlfn.XLOOKUP(B114,'Chart of Accounts'!B:B,'Chart of Accounts'!D:D)</f>
        <v xml:space="preserve">Salaries &amp; Wages </v>
      </c>
      <c r="E114" t="s">
        <v>468</v>
      </c>
      <c r="F114" s="45">
        <f>SUMIFS('2021 IS'!C:C,'2021 IS'!A:A,B114)</f>
        <v>1775.48</v>
      </c>
      <c r="G114" s="45">
        <f>SUMIFS('2022 IS'!C:C,'2022 IS'!A:A,B114)</f>
        <v>2158.77</v>
      </c>
      <c r="H114" s="45">
        <f>SUMIFS('2023 IS'!C:C,'2023 IS'!A:A,B114)</f>
        <v>2058.5500000000002</v>
      </c>
      <c r="I114" s="45">
        <f>SUMIFS('2024 IS'!C:C,'2024 IS'!A:A,B114)</f>
        <v>1264.0999999999999</v>
      </c>
      <c r="J114" s="45">
        <f>SUMIFS('2025 IS'!C:C,'2025 IS'!A:A,B114)</f>
        <v>1582.87</v>
      </c>
    </row>
    <row r="115" spans="2:10" x14ac:dyDescent="0.25">
      <c r="B115" s="35" t="s">
        <v>151</v>
      </c>
      <c r="C115" t="s">
        <v>150</v>
      </c>
      <c r="D115" t="str">
        <f>_xlfn.XLOOKUP(B115,'Chart of Accounts'!B:B,'Chart of Accounts'!D:D)</f>
        <v xml:space="preserve">Salaries &amp; Wages </v>
      </c>
      <c r="E115" t="s">
        <v>468</v>
      </c>
      <c r="F115" s="45">
        <f>SUMIFS('2021 IS'!C:C,'2021 IS'!A:A,B115)</f>
        <v>0</v>
      </c>
      <c r="G115" s="45">
        <f>SUMIFS('2022 IS'!C:C,'2022 IS'!A:A,B115)</f>
        <v>0</v>
      </c>
      <c r="H115" s="45">
        <f>SUMIFS('2023 IS'!C:C,'2023 IS'!A:A,B115)</f>
        <v>0</v>
      </c>
      <c r="I115" s="45">
        <f>SUMIFS('2024 IS'!C:C,'2024 IS'!A:A,B115)</f>
        <v>0</v>
      </c>
      <c r="J115" s="45">
        <f>SUMIFS('2025 IS'!C:C,'2025 IS'!A:A,B115)</f>
        <v>0</v>
      </c>
    </row>
    <row r="116" spans="2:10" x14ac:dyDescent="0.25">
      <c r="B116" s="35" t="s">
        <v>149</v>
      </c>
      <c r="C116" t="s">
        <v>88</v>
      </c>
      <c r="D116" t="str">
        <f>_xlfn.XLOOKUP(B116,'Chart of Accounts'!B:B,'Chart of Accounts'!D:D)</f>
        <v>Other Expenses</v>
      </c>
      <c r="E116" t="s">
        <v>468</v>
      </c>
      <c r="F116" s="45">
        <f>SUMIFS('2021 IS'!C:C,'2021 IS'!A:A,B116)</f>
        <v>0</v>
      </c>
      <c r="G116" s="45">
        <f>SUMIFS('2022 IS'!C:C,'2022 IS'!A:A,B116)</f>
        <v>0</v>
      </c>
      <c r="H116" s="45">
        <f>SUMIFS('2023 IS'!C:C,'2023 IS'!A:A,B116)</f>
        <v>0</v>
      </c>
      <c r="I116" s="45">
        <f>SUMIFS('2024 IS'!C:C,'2024 IS'!A:A,B116)</f>
        <v>0</v>
      </c>
      <c r="J116" s="45">
        <f>SUMIFS('2025 IS'!C:C,'2025 IS'!A:A,B116)</f>
        <v>0</v>
      </c>
    </row>
    <row r="117" spans="2:10" x14ac:dyDescent="0.25">
      <c r="B117" s="35" t="s">
        <v>148</v>
      </c>
      <c r="C117" t="s">
        <v>88</v>
      </c>
      <c r="D117" t="str">
        <f>_xlfn.XLOOKUP(B117,'Chart of Accounts'!B:B,'Chart of Accounts'!D:D)</f>
        <v>Other Expenses</v>
      </c>
      <c r="E117" t="s">
        <v>468</v>
      </c>
      <c r="F117" s="45">
        <f>SUMIFS('2021 IS'!C:C,'2021 IS'!A:A,B117)</f>
        <v>3241.32</v>
      </c>
      <c r="G117" s="45">
        <f>SUMIFS('2022 IS'!C:C,'2022 IS'!A:A,B117)</f>
        <v>975.78</v>
      </c>
      <c r="H117" s="45">
        <f>SUMIFS('2023 IS'!C:C,'2023 IS'!A:A,B117)</f>
        <v>2470.59</v>
      </c>
      <c r="I117" s="45">
        <f>SUMIFS('2024 IS'!C:C,'2024 IS'!A:A,B117)</f>
        <v>1304.54</v>
      </c>
      <c r="J117" s="45">
        <f>SUMIFS('2025 IS'!C:C,'2025 IS'!A:A,B117)</f>
        <v>0</v>
      </c>
    </row>
    <row r="118" spans="2:10" x14ac:dyDescent="0.25">
      <c r="B118" s="35" t="s">
        <v>147</v>
      </c>
      <c r="C118" t="s">
        <v>88</v>
      </c>
      <c r="D118" t="str">
        <f>_xlfn.XLOOKUP(B118,'Chart of Accounts'!B:B,'Chart of Accounts'!D:D)</f>
        <v>Other Expenses</v>
      </c>
      <c r="E118" t="s">
        <v>468</v>
      </c>
      <c r="F118" s="45">
        <f>SUMIFS('2021 IS'!C:C,'2021 IS'!A:A,B118)</f>
        <v>0</v>
      </c>
      <c r="G118" s="45">
        <f>SUMIFS('2022 IS'!C:C,'2022 IS'!A:A,B118)</f>
        <v>0</v>
      </c>
      <c r="H118" s="45">
        <f>SUMIFS('2023 IS'!C:C,'2023 IS'!A:A,B118)</f>
        <v>0</v>
      </c>
      <c r="I118" s="45">
        <f>SUMIFS('2024 IS'!C:C,'2024 IS'!A:A,B118)</f>
        <v>0</v>
      </c>
      <c r="J118" s="45">
        <f>SUMIFS('2025 IS'!C:C,'2025 IS'!A:A,B118)</f>
        <v>0</v>
      </c>
    </row>
    <row r="119" spans="2:10" x14ac:dyDescent="0.25">
      <c r="B119" s="35" t="s">
        <v>146</v>
      </c>
      <c r="C119" t="s">
        <v>144</v>
      </c>
      <c r="D119" t="str">
        <f>_xlfn.XLOOKUP(B119,'Chart of Accounts'!B:B,'Chart of Accounts'!D:D)</f>
        <v>Other Expenses</v>
      </c>
      <c r="E119" t="s">
        <v>468</v>
      </c>
      <c r="F119" s="45">
        <f>SUMIFS('2021 IS'!C:C,'2021 IS'!A:A,B119)</f>
        <v>0</v>
      </c>
      <c r="G119" s="45">
        <f>SUMIFS('2022 IS'!C:C,'2022 IS'!A:A,B119)</f>
        <v>0</v>
      </c>
      <c r="H119" s="45">
        <f>SUMIFS('2023 IS'!C:C,'2023 IS'!A:A,B119)</f>
        <v>0</v>
      </c>
      <c r="I119" s="45">
        <f>SUMIFS('2024 IS'!C:C,'2024 IS'!A:A,B119)</f>
        <v>0</v>
      </c>
      <c r="J119" s="45">
        <f>SUMIFS('2025 IS'!C:C,'2025 IS'!A:A,B119)</f>
        <v>0</v>
      </c>
    </row>
    <row r="120" spans="2:10" x14ac:dyDescent="0.25">
      <c r="B120" s="35" t="s">
        <v>145</v>
      </c>
      <c r="C120" t="s">
        <v>144</v>
      </c>
      <c r="D120" t="str">
        <f>_xlfn.XLOOKUP(B120,'Chart of Accounts'!B:B,'Chart of Accounts'!D:D)</f>
        <v>Other Expenses</v>
      </c>
      <c r="E120" t="s">
        <v>468</v>
      </c>
      <c r="F120" s="45">
        <f>SUMIFS('2021 IS'!C:C,'2021 IS'!A:A,B120)</f>
        <v>7873.29</v>
      </c>
      <c r="G120" s="45">
        <f>SUMIFS('2022 IS'!C:C,'2022 IS'!A:A,B120)</f>
        <v>35718.21</v>
      </c>
      <c r="H120" s="45">
        <f>SUMIFS('2023 IS'!C:C,'2023 IS'!A:A,B120)</f>
        <v>6196.37</v>
      </c>
      <c r="I120" s="45">
        <f>SUMIFS('2024 IS'!C:C,'2024 IS'!A:A,B120)</f>
        <v>46.18</v>
      </c>
      <c r="J120" s="45">
        <f>SUMIFS('2025 IS'!C:C,'2025 IS'!A:A,B120)</f>
        <v>0</v>
      </c>
    </row>
    <row r="121" spans="2:10" x14ac:dyDescent="0.25">
      <c r="B121" s="35" t="s">
        <v>143</v>
      </c>
      <c r="C121" t="s">
        <v>142</v>
      </c>
      <c r="D121" t="str">
        <f>_xlfn.XLOOKUP(B121,'Chart of Accounts'!B:B,'Chart of Accounts'!D:D)</f>
        <v>Professional Fees</v>
      </c>
      <c r="E121" t="s">
        <v>468</v>
      </c>
      <c r="F121" s="45">
        <f>SUMIFS('2021 IS'!C:C,'2021 IS'!A:A,B121)</f>
        <v>15150</v>
      </c>
      <c r="G121" s="45">
        <f>SUMIFS('2022 IS'!C:C,'2022 IS'!A:A,B121)</f>
        <v>4000</v>
      </c>
      <c r="H121" s="45">
        <f>SUMIFS('2023 IS'!C:C,'2023 IS'!A:A,B121)</f>
        <v>24935</v>
      </c>
      <c r="I121" s="45">
        <f>SUMIFS('2024 IS'!C:C,'2024 IS'!A:A,B121)</f>
        <v>-13143</v>
      </c>
      <c r="J121" s="45">
        <f>SUMIFS('2025 IS'!C:C,'2025 IS'!A:A,B121)</f>
        <v>0</v>
      </c>
    </row>
    <row r="122" spans="2:10" x14ac:dyDescent="0.25">
      <c r="B122" s="35" t="s">
        <v>141</v>
      </c>
      <c r="C122" t="s">
        <v>140</v>
      </c>
      <c r="D122" t="str">
        <f>_xlfn.XLOOKUP(B122,'Chart of Accounts'!B:B,'Chart of Accounts'!D:D)</f>
        <v>Professional Fees</v>
      </c>
      <c r="E122" t="s">
        <v>468</v>
      </c>
      <c r="F122" s="45">
        <f>SUMIFS('2021 IS'!C:C,'2021 IS'!A:A,B122)</f>
        <v>9479.7000000000007</v>
      </c>
      <c r="G122" s="45">
        <f>SUMIFS('2022 IS'!C:C,'2022 IS'!A:A,B122)</f>
        <v>0</v>
      </c>
      <c r="H122" s="45">
        <f>SUMIFS('2023 IS'!C:C,'2023 IS'!A:A,B122)</f>
        <v>0</v>
      </c>
      <c r="I122" s="45">
        <f>SUMIFS('2024 IS'!C:C,'2024 IS'!A:A,B122)</f>
        <v>12900.22</v>
      </c>
      <c r="J122" s="45">
        <f>SUMIFS('2025 IS'!C:C,'2025 IS'!A:A,B122)</f>
        <v>0</v>
      </c>
    </row>
    <row r="123" spans="2:10" x14ac:dyDescent="0.25">
      <c r="B123" s="35" t="s">
        <v>139</v>
      </c>
      <c r="C123" t="s">
        <v>138</v>
      </c>
      <c r="D123" t="str">
        <f>_xlfn.XLOOKUP(B123,'Chart of Accounts'!B:B,'Chart of Accounts'!D:D)</f>
        <v>Professional Fees</v>
      </c>
      <c r="E123" t="s">
        <v>468</v>
      </c>
      <c r="F123" s="45">
        <f>SUMIFS('2021 IS'!C:C,'2021 IS'!A:A,B123)</f>
        <v>0</v>
      </c>
      <c r="G123" s="45">
        <f>SUMIFS('2022 IS'!C:C,'2022 IS'!A:A,B123)</f>
        <v>31472.39</v>
      </c>
      <c r="H123" s="45">
        <f>SUMIFS('2023 IS'!C:C,'2023 IS'!A:A,B123)</f>
        <v>17643.54</v>
      </c>
      <c r="I123" s="45">
        <f>SUMIFS('2024 IS'!C:C,'2024 IS'!A:A,B123)</f>
        <v>11431</v>
      </c>
      <c r="J123" s="45">
        <f>SUMIFS('2025 IS'!C:C,'2025 IS'!A:A,B123)</f>
        <v>10911.51</v>
      </c>
    </row>
    <row r="124" spans="2:10" x14ac:dyDescent="0.25">
      <c r="B124" s="35" t="s">
        <v>137</v>
      </c>
      <c r="C124" t="s">
        <v>136</v>
      </c>
      <c r="D124" t="str">
        <f>_xlfn.XLOOKUP(B124,'Chart of Accounts'!B:B,'Chart of Accounts'!D:D)</f>
        <v>Professional Fees</v>
      </c>
      <c r="E124" t="s">
        <v>468</v>
      </c>
      <c r="F124" s="45">
        <f>SUMIFS('2021 IS'!C:C,'2021 IS'!A:A,B124)</f>
        <v>0</v>
      </c>
      <c r="G124" s="45">
        <f>SUMIFS('2022 IS'!C:C,'2022 IS'!A:A,B124)</f>
        <v>0</v>
      </c>
      <c r="H124" s="45">
        <f>SUMIFS('2023 IS'!C:C,'2023 IS'!A:A,B124)</f>
        <v>0</v>
      </c>
      <c r="I124" s="45">
        <f>SUMIFS('2024 IS'!C:C,'2024 IS'!A:A,B124)</f>
        <v>0</v>
      </c>
      <c r="J124" s="45">
        <f>SUMIFS('2025 IS'!C:C,'2025 IS'!A:A,B124)</f>
        <v>0</v>
      </c>
    </row>
    <row r="125" spans="2:10" x14ac:dyDescent="0.25">
      <c r="B125" s="35" t="s">
        <v>135</v>
      </c>
      <c r="C125" t="s">
        <v>134</v>
      </c>
      <c r="D125" t="str">
        <f>_xlfn.XLOOKUP(B125,'Chart of Accounts'!B:B,'Chart of Accounts'!D:D)</f>
        <v>Human Resources &amp; Trianing Expenses</v>
      </c>
      <c r="E125" t="s">
        <v>468</v>
      </c>
      <c r="F125" s="45">
        <f>SUMIFS('2021 IS'!C:C,'2021 IS'!A:A,B125)</f>
        <v>40323</v>
      </c>
      <c r="G125" s="45">
        <f>SUMIFS('2022 IS'!C:C,'2022 IS'!A:A,B125)</f>
        <v>45000</v>
      </c>
      <c r="H125" s="45">
        <f>SUMIFS('2023 IS'!C:C,'2023 IS'!A:A,B125)</f>
        <v>40000</v>
      </c>
      <c r="I125" s="45">
        <f>SUMIFS('2024 IS'!C:C,'2024 IS'!A:A,B125)</f>
        <v>40708.769999999997</v>
      </c>
      <c r="J125" s="45">
        <f>SUMIFS('2025 IS'!C:C,'2025 IS'!A:A,B125)</f>
        <v>1192.02</v>
      </c>
    </row>
    <row r="126" spans="2:10" x14ac:dyDescent="0.25">
      <c r="B126" s="35" t="s">
        <v>133</v>
      </c>
      <c r="C126" t="s">
        <v>132</v>
      </c>
      <c r="D126" t="str">
        <f>_xlfn.XLOOKUP(B126,'Chart of Accounts'!B:B,'Chart of Accounts'!D:D)</f>
        <v>Office Expense</v>
      </c>
      <c r="E126" t="s">
        <v>468</v>
      </c>
      <c r="F126" s="45">
        <f>SUMIFS('2021 IS'!C:C,'2021 IS'!A:A,B126)</f>
        <v>845.01</v>
      </c>
      <c r="G126" s="45">
        <f>SUMIFS('2022 IS'!C:C,'2022 IS'!A:A,B126)</f>
        <v>730.38</v>
      </c>
      <c r="H126" s="45">
        <f>SUMIFS('2023 IS'!C:C,'2023 IS'!A:A,B126)</f>
        <v>730.38</v>
      </c>
      <c r="I126" s="45">
        <f>SUMIFS('2024 IS'!C:C,'2024 IS'!A:A,B126)</f>
        <v>730.38</v>
      </c>
      <c r="J126" s="45">
        <f>SUMIFS('2025 IS'!C:C,'2025 IS'!A:A,B126)</f>
        <v>270.48</v>
      </c>
    </row>
    <row r="127" spans="2:10" x14ac:dyDescent="0.25">
      <c r="B127" s="35" t="s">
        <v>131</v>
      </c>
      <c r="C127" t="s">
        <v>129</v>
      </c>
      <c r="D127" t="str">
        <f>_xlfn.XLOOKUP(B127,'Chart of Accounts'!B:B,'Chart of Accounts'!D:D)</f>
        <v>Office Expense</v>
      </c>
      <c r="E127" t="s">
        <v>468</v>
      </c>
      <c r="F127" s="45">
        <f>SUMIFS('2021 IS'!C:C,'2021 IS'!A:A,B127)</f>
        <v>0</v>
      </c>
      <c r="G127" s="45">
        <f>SUMIFS('2022 IS'!C:C,'2022 IS'!A:A,B127)</f>
        <v>0</v>
      </c>
      <c r="H127" s="45">
        <f>SUMIFS('2023 IS'!C:C,'2023 IS'!A:A,B127)</f>
        <v>0</v>
      </c>
      <c r="I127" s="45">
        <f>SUMIFS('2024 IS'!C:C,'2024 IS'!A:A,B127)</f>
        <v>0</v>
      </c>
      <c r="J127" s="45">
        <f>SUMIFS('2025 IS'!C:C,'2025 IS'!A:A,B127)</f>
        <v>0</v>
      </c>
    </row>
    <row r="128" spans="2:10" x14ac:dyDescent="0.25">
      <c r="B128" s="35" t="s">
        <v>130</v>
      </c>
      <c r="C128" t="s">
        <v>129</v>
      </c>
      <c r="D128" t="str">
        <f>_xlfn.XLOOKUP(B128,'Chart of Accounts'!B:B,'Chart of Accounts'!D:D)</f>
        <v>Office Expense</v>
      </c>
      <c r="E128" t="s">
        <v>468</v>
      </c>
      <c r="F128" s="45">
        <f>SUMIFS('2021 IS'!C:C,'2021 IS'!A:A,B128)</f>
        <v>751.71</v>
      </c>
      <c r="G128" s="45">
        <f>SUMIFS('2022 IS'!C:C,'2022 IS'!A:A,B128)</f>
        <v>1102.93</v>
      </c>
      <c r="H128" s="45">
        <f>SUMIFS('2023 IS'!C:C,'2023 IS'!A:A,B128)</f>
        <v>3335.67</v>
      </c>
      <c r="I128" s="45">
        <f>SUMIFS('2024 IS'!C:C,'2024 IS'!A:A,B128)</f>
        <v>24070.28</v>
      </c>
      <c r="J128" s="45">
        <f>SUMIFS('2025 IS'!C:C,'2025 IS'!A:A,B128)</f>
        <v>0</v>
      </c>
    </row>
    <row r="129" spans="2:10" x14ac:dyDescent="0.25">
      <c r="B129" s="35" t="s">
        <v>128</v>
      </c>
      <c r="C129" t="s">
        <v>127</v>
      </c>
      <c r="D129" t="str">
        <f>_xlfn.XLOOKUP(B129,'Chart of Accounts'!B:B,'Chart of Accounts'!D:D)</f>
        <v>Office Expense</v>
      </c>
      <c r="E129" t="s">
        <v>468</v>
      </c>
      <c r="F129" s="45">
        <f>SUMIFS('2021 IS'!C:C,'2021 IS'!A:A,B129)</f>
        <v>750.5</v>
      </c>
      <c r="G129" s="45">
        <f>SUMIFS('2022 IS'!C:C,'2022 IS'!A:A,B129)</f>
        <v>777.95</v>
      </c>
      <c r="H129" s="45">
        <f>SUMIFS('2023 IS'!C:C,'2023 IS'!A:A,B129)</f>
        <v>290.99</v>
      </c>
      <c r="I129" s="45">
        <f>SUMIFS('2024 IS'!C:C,'2024 IS'!A:A,B129)</f>
        <v>818.9</v>
      </c>
      <c r="J129" s="45">
        <f>SUMIFS('2025 IS'!C:C,'2025 IS'!A:A,B129)</f>
        <v>0</v>
      </c>
    </row>
    <row r="130" spans="2:10" x14ac:dyDescent="0.25">
      <c r="B130" s="35" t="s">
        <v>126</v>
      </c>
      <c r="C130" t="s">
        <v>124</v>
      </c>
      <c r="D130" t="str">
        <f>_xlfn.XLOOKUP(B130,'Chart of Accounts'!B:B,'Chart of Accounts'!D:D)</f>
        <v>Office Expense</v>
      </c>
      <c r="E130" t="s">
        <v>468</v>
      </c>
      <c r="F130" s="45">
        <f>SUMIFS('2021 IS'!C:C,'2021 IS'!A:A,B130)</f>
        <v>0</v>
      </c>
      <c r="G130" s="45">
        <f>SUMIFS('2022 IS'!C:C,'2022 IS'!A:A,B130)</f>
        <v>0</v>
      </c>
      <c r="H130" s="45">
        <f>SUMIFS('2023 IS'!C:C,'2023 IS'!A:A,B130)</f>
        <v>0</v>
      </c>
      <c r="I130" s="45">
        <f>SUMIFS('2024 IS'!C:C,'2024 IS'!A:A,B130)</f>
        <v>0</v>
      </c>
      <c r="J130" s="45">
        <f>SUMIFS('2025 IS'!C:C,'2025 IS'!A:A,B130)</f>
        <v>0</v>
      </c>
    </row>
    <row r="131" spans="2:10" x14ac:dyDescent="0.25">
      <c r="B131" s="35" t="s">
        <v>125</v>
      </c>
      <c r="C131" t="s">
        <v>124</v>
      </c>
      <c r="D131" t="str">
        <f>_xlfn.XLOOKUP(B131,'Chart of Accounts'!B:B,'Chart of Accounts'!D:D)</f>
        <v>Office Expense</v>
      </c>
      <c r="E131" t="s">
        <v>468</v>
      </c>
      <c r="F131" s="45">
        <f>SUMIFS('2021 IS'!C:C,'2021 IS'!A:A,B131)</f>
        <v>1672.27</v>
      </c>
      <c r="G131" s="45">
        <f>SUMIFS('2022 IS'!C:C,'2022 IS'!A:A,B131)</f>
        <v>500</v>
      </c>
      <c r="H131" s="45">
        <f>SUMIFS('2023 IS'!C:C,'2023 IS'!A:A,B131)</f>
        <v>149</v>
      </c>
      <c r="I131" s="45">
        <f>SUMIFS('2024 IS'!C:C,'2024 IS'!A:A,B131)</f>
        <v>0</v>
      </c>
      <c r="J131" s="45">
        <f>SUMIFS('2025 IS'!C:C,'2025 IS'!A:A,B131)</f>
        <v>0</v>
      </c>
    </row>
    <row r="132" spans="2:10" x14ac:dyDescent="0.25">
      <c r="B132" s="35" t="s">
        <v>123</v>
      </c>
      <c r="C132" t="s">
        <v>121</v>
      </c>
      <c r="D132" t="str">
        <f>_xlfn.XLOOKUP(B132,'Chart of Accounts'!B:B,'Chart of Accounts'!D:D)</f>
        <v>Office Expense</v>
      </c>
      <c r="E132" t="s">
        <v>468</v>
      </c>
      <c r="F132" s="45">
        <f>SUMIFS('2021 IS'!C:C,'2021 IS'!A:A,B132)</f>
        <v>0</v>
      </c>
      <c r="G132" s="45">
        <f>SUMIFS('2022 IS'!C:C,'2022 IS'!A:A,B132)</f>
        <v>0</v>
      </c>
      <c r="H132" s="45">
        <f>SUMIFS('2023 IS'!C:C,'2023 IS'!A:A,B132)</f>
        <v>0</v>
      </c>
      <c r="I132" s="45">
        <f>SUMIFS('2024 IS'!C:C,'2024 IS'!A:A,B132)</f>
        <v>0</v>
      </c>
      <c r="J132" s="45">
        <f>SUMIFS('2025 IS'!C:C,'2025 IS'!A:A,B132)</f>
        <v>134.06</v>
      </c>
    </row>
    <row r="133" spans="2:10" x14ac:dyDescent="0.25">
      <c r="B133" s="35" t="s">
        <v>122</v>
      </c>
      <c r="C133" t="s">
        <v>121</v>
      </c>
      <c r="D133" t="str">
        <f>_xlfn.XLOOKUP(B133,'Chart of Accounts'!B:B,'Chart of Accounts'!D:D)</f>
        <v>Office Expense</v>
      </c>
      <c r="E133" t="s">
        <v>468</v>
      </c>
      <c r="F133" s="45">
        <f>SUMIFS('2021 IS'!C:C,'2021 IS'!A:A,B133)</f>
        <v>2113.84</v>
      </c>
      <c r="G133" s="45">
        <f>SUMIFS('2022 IS'!C:C,'2022 IS'!A:A,B133)</f>
        <v>4454.1499999999996</v>
      </c>
      <c r="H133" s="45">
        <f>SUMIFS('2023 IS'!C:C,'2023 IS'!A:A,B133)</f>
        <v>12600.86</v>
      </c>
      <c r="I133" s="45">
        <f>SUMIFS('2024 IS'!C:C,'2024 IS'!A:A,B133)</f>
        <v>6418.07</v>
      </c>
      <c r="J133" s="45">
        <f>SUMIFS('2025 IS'!C:C,'2025 IS'!A:A,B133)</f>
        <v>0</v>
      </c>
    </row>
    <row r="134" spans="2:10" x14ac:dyDescent="0.25">
      <c r="B134" s="35" t="s">
        <v>120</v>
      </c>
      <c r="C134" t="s">
        <v>119</v>
      </c>
      <c r="D134" t="str">
        <f>_xlfn.XLOOKUP(B134,'Chart of Accounts'!B:B,'Chart of Accounts'!D:D)</f>
        <v>Office Expense</v>
      </c>
      <c r="E134" t="s">
        <v>468</v>
      </c>
      <c r="F134" s="45">
        <f>SUMIFS('2021 IS'!C:C,'2021 IS'!A:A,B134)</f>
        <v>1281.6099999999999</v>
      </c>
      <c r="G134" s="45">
        <f>SUMIFS('2022 IS'!C:C,'2022 IS'!A:A,B134)</f>
        <v>1661.09</v>
      </c>
      <c r="H134" s="45">
        <f>SUMIFS('2023 IS'!C:C,'2023 IS'!A:A,B134)</f>
        <v>871.14</v>
      </c>
      <c r="I134" s="45">
        <f>SUMIFS('2024 IS'!C:C,'2024 IS'!A:A,B134)</f>
        <v>1507.44</v>
      </c>
      <c r="J134" s="45">
        <f>SUMIFS('2025 IS'!C:C,'2025 IS'!A:A,B134)</f>
        <v>1442.14</v>
      </c>
    </row>
    <row r="135" spans="2:10" x14ac:dyDescent="0.25">
      <c r="B135" s="35" t="s">
        <v>118</v>
      </c>
      <c r="C135" t="s">
        <v>116</v>
      </c>
      <c r="D135" t="str">
        <f>_xlfn.XLOOKUP(B135,'Chart of Accounts'!B:B,'Chart of Accounts'!D:D)</f>
        <v>Office Expense</v>
      </c>
      <c r="E135" t="s">
        <v>468</v>
      </c>
      <c r="F135" s="45">
        <f>SUMIFS('2021 IS'!C:C,'2021 IS'!A:A,B135)</f>
        <v>0</v>
      </c>
      <c r="G135" s="45">
        <f>SUMIFS('2022 IS'!C:C,'2022 IS'!A:A,B135)</f>
        <v>0</v>
      </c>
      <c r="H135" s="45">
        <f>SUMIFS('2023 IS'!C:C,'2023 IS'!A:A,B135)</f>
        <v>0</v>
      </c>
      <c r="I135" s="45">
        <f>SUMIFS('2024 IS'!C:C,'2024 IS'!A:A,B135)</f>
        <v>0</v>
      </c>
      <c r="J135" s="45">
        <f>SUMIFS('2025 IS'!C:C,'2025 IS'!A:A,B135)</f>
        <v>520.23</v>
      </c>
    </row>
    <row r="136" spans="2:10" x14ac:dyDescent="0.25">
      <c r="B136" s="35" t="s">
        <v>117</v>
      </c>
      <c r="C136" t="s">
        <v>116</v>
      </c>
      <c r="D136" t="str">
        <f>_xlfn.XLOOKUP(B136,'Chart of Accounts'!B:B,'Chart of Accounts'!D:D)</f>
        <v>Office Expense</v>
      </c>
      <c r="E136" t="s">
        <v>468</v>
      </c>
      <c r="F136" s="45">
        <f>SUMIFS('2021 IS'!C:C,'2021 IS'!A:A,B136)</f>
        <v>295.14</v>
      </c>
      <c r="G136" s="45">
        <f>SUMIFS('2022 IS'!C:C,'2022 IS'!A:A,B136)</f>
        <v>230.24</v>
      </c>
      <c r="H136" s="45">
        <f>SUMIFS('2023 IS'!C:C,'2023 IS'!A:A,B136)</f>
        <v>465.81</v>
      </c>
      <c r="I136" s="45">
        <f>SUMIFS('2024 IS'!C:C,'2024 IS'!A:A,B136)</f>
        <v>607.77</v>
      </c>
      <c r="J136" s="45">
        <f>SUMIFS('2025 IS'!C:C,'2025 IS'!A:A,B136)</f>
        <v>0</v>
      </c>
    </row>
    <row r="137" spans="2:10" x14ac:dyDescent="0.25">
      <c r="B137" s="35" t="s">
        <v>115</v>
      </c>
      <c r="C137" t="s">
        <v>113</v>
      </c>
      <c r="D137" t="str">
        <f>_xlfn.XLOOKUP(B137,'Chart of Accounts'!B:B,'Chart of Accounts'!D:D)</f>
        <v>Charity</v>
      </c>
      <c r="E137" t="s">
        <v>468</v>
      </c>
      <c r="F137" s="45">
        <f>SUMIFS('2021 IS'!C:C,'2021 IS'!A:A,B137)</f>
        <v>0</v>
      </c>
      <c r="G137" s="45">
        <f>SUMIFS('2022 IS'!C:C,'2022 IS'!A:A,B137)</f>
        <v>0</v>
      </c>
      <c r="H137" s="45">
        <f>SUMIFS('2023 IS'!C:C,'2023 IS'!A:A,B137)</f>
        <v>0</v>
      </c>
      <c r="I137" s="45">
        <f>SUMIFS('2024 IS'!C:C,'2024 IS'!A:A,B137)</f>
        <v>0</v>
      </c>
      <c r="J137" s="45">
        <f>SUMIFS('2025 IS'!C:C,'2025 IS'!A:A,B137)</f>
        <v>300</v>
      </c>
    </row>
    <row r="138" spans="2:10" x14ac:dyDescent="0.25">
      <c r="B138" s="35" t="s">
        <v>114</v>
      </c>
      <c r="C138" t="s">
        <v>113</v>
      </c>
      <c r="D138" t="str">
        <f>_xlfn.XLOOKUP(B138,'Chart of Accounts'!B:B,'Chart of Accounts'!D:D)</f>
        <v>Charity</v>
      </c>
      <c r="E138" t="s">
        <v>468</v>
      </c>
      <c r="F138" s="45">
        <f>SUMIFS('2021 IS'!C:C,'2021 IS'!A:A,B138)</f>
        <v>3025</v>
      </c>
      <c r="G138" s="45">
        <f>SUMIFS('2022 IS'!C:C,'2022 IS'!A:A,B138)</f>
        <v>300</v>
      </c>
      <c r="H138" s="45">
        <f>SUMIFS('2023 IS'!C:C,'2023 IS'!A:A,B138)</f>
        <v>1625</v>
      </c>
      <c r="I138" s="45">
        <f>SUMIFS('2024 IS'!C:C,'2024 IS'!A:A,B138)</f>
        <v>1675</v>
      </c>
      <c r="J138" s="45">
        <f>SUMIFS('2025 IS'!C:C,'2025 IS'!A:A,B138)</f>
        <v>0</v>
      </c>
    </row>
    <row r="139" spans="2:10" x14ac:dyDescent="0.25">
      <c r="B139" s="35" t="s">
        <v>112</v>
      </c>
      <c r="C139" t="s">
        <v>111</v>
      </c>
      <c r="D139" t="str">
        <f>_xlfn.XLOOKUP(B139,'Chart of Accounts'!B:B,'Chart of Accounts'!D:D)</f>
        <v>Other Expenses</v>
      </c>
      <c r="E139" t="s">
        <v>468</v>
      </c>
      <c r="F139" s="45">
        <f>SUMIFS('2021 IS'!C:C,'2021 IS'!A:A,B139)</f>
        <v>1127.67</v>
      </c>
      <c r="G139" s="45">
        <f>SUMIFS('2022 IS'!C:C,'2022 IS'!A:A,B139)</f>
        <v>1326.76</v>
      </c>
      <c r="H139" s="45">
        <f>SUMIFS('2023 IS'!C:C,'2023 IS'!A:A,B139)</f>
        <v>4717.16</v>
      </c>
      <c r="I139" s="45">
        <f>SUMIFS('2024 IS'!C:C,'2024 IS'!A:A,B139)</f>
        <v>1919.95</v>
      </c>
      <c r="J139" s="45">
        <f>SUMIFS('2025 IS'!C:C,'2025 IS'!A:A,B139)</f>
        <v>332.4</v>
      </c>
    </row>
    <row r="140" spans="2:10" x14ac:dyDescent="0.25">
      <c r="B140" s="35" t="s">
        <v>110</v>
      </c>
      <c r="C140" t="s">
        <v>109</v>
      </c>
      <c r="D140" t="str">
        <f>_xlfn.XLOOKUP(B140,'Chart of Accounts'!B:B,'Chart of Accounts'!D:D)</f>
        <v>Bank Charges</v>
      </c>
      <c r="E140" t="s">
        <v>468</v>
      </c>
      <c r="F140" s="45">
        <f>SUMIFS('2021 IS'!C:C,'2021 IS'!A:A,B140)</f>
        <v>1560.05</v>
      </c>
      <c r="G140" s="45">
        <f>SUMIFS('2022 IS'!C:C,'2022 IS'!A:A,B140)</f>
        <v>81.77</v>
      </c>
      <c r="H140" s="45">
        <f>SUMIFS('2023 IS'!C:C,'2023 IS'!A:A,B140)</f>
        <v>2335.5300000000002</v>
      </c>
      <c r="I140" s="45">
        <f>SUMIFS('2024 IS'!C:C,'2024 IS'!A:A,B140)</f>
        <v>2117.33</v>
      </c>
      <c r="J140" s="45">
        <f>SUMIFS('2025 IS'!C:C,'2025 IS'!A:A,B140)</f>
        <v>1371.51</v>
      </c>
    </row>
    <row r="141" spans="2:10" x14ac:dyDescent="0.25">
      <c r="B141" s="35" t="s">
        <v>108</v>
      </c>
      <c r="C141" t="s">
        <v>106</v>
      </c>
      <c r="D141" t="str">
        <f>_xlfn.XLOOKUP(B141,'Chart of Accounts'!B:B,'Chart of Accounts'!D:D)</f>
        <v>Bank Charges</v>
      </c>
      <c r="E141" t="s">
        <v>468</v>
      </c>
      <c r="F141" s="45">
        <f>SUMIFS('2021 IS'!C:C,'2021 IS'!A:A,B141)</f>
        <v>0</v>
      </c>
      <c r="G141" s="45">
        <f>SUMIFS('2022 IS'!C:C,'2022 IS'!A:A,B141)</f>
        <v>0</v>
      </c>
      <c r="H141" s="45">
        <f>SUMIFS('2023 IS'!C:C,'2023 IS'!A:A,B141)</f>
        <v>0</v>
      </c>
      <c r="I141" s="45">
        <f>SUMIFS('2024 IS'!C:C,'2024 IS'!A:A,B141)</f>
        <v>0</v>
      </c>
      <c r="J141" s="45">
        <f>SUMIFS('2025 IS'!C:C,'2025 IS'!A:A,B141)</f>
        <v>130</v>
      </c>
    </row>
    <row r="142" spans="2:10" x14ac:dyDescent="0.25">
      <c r="B142" s="35" t="s">
        <v>107</v>
      </c>
      <c r="C142" t="s">
        <v>106</v>
      </c>
      <c r="D142" t="str">
        <f>_xlfn.XLOOKUP(B142,'Chart of Accounts'!B:B,'Chart of Accounts'!D:D)</f>
        <v>Bank Charges</v>
      </c>
      <c r="E142" t="s">
        <v>468</v>
      </c>
      <c r="F142" s="45">
        <f>SUMIFS('2021 IS'!C:C,'2021 IS'!A:A,B142)</f>
        <v>50</v>
      </c>
      <c r="G142" s="45">
        <f>SUMIFS('2022 IS'!C:C,'2022 IS'!A:A,B142)</f>
        <v>452.64</v>
      </c>
      <c r="H142" s="45">
        <f>SUMIFS('2023 IS'!C:C,'2023 IS'!A:A,B142)</f>
        <v>48.76</v>
      </c>
      <c r="I142" s="45">
        <f>SUMIFS('2024 IS'!C:C,'2024 IS'!A:A,B142)</f>
        <v>0.01</v>
      </c>
      <c r="J142" s="45">
        <f>SUMIFS('2025 IS'!C:C,'2025 IS'!A:A,B142)</f>
        <v>0</v>
      </c>
    </row>
    <row r="143" spans="2:10" x14ac:dyDescent="0.25">
      <c r="B143" s="35" t="s">
        <v>105</v>
      </c>
      <c r="C143" t="s">
        <v>104</v>
      </c>
      <c r="D143" t="str">
        <f>_xlfn.XLOOKUP(B143,'Chart of Accounts'!B:B,'Chart of Accounts'!D:D)</f>
        <v>Building Expenses</v>
      </c>
      <c r="E143" t="s">
        <v>468</v>
      </c>
      <c r="F143" s="45">
        <f>SUMIFS('2021 IS'!C:C,'2021 IS'!A:A,B143)</f>
        <v>791.54</v>
      </c>
      <c r="G143" s="45">
        <f>SUMIFS('2022 IS'!C:C,'2022 IS'!A:A,B143)</f>
        <v>883.75</v>
      </c>
      <c r="H143" s="45">
        <f>SUMIFS('2023 IS'!C:C,'2023 IS'!A:A,B143)</f>
        <v>1297.4100000000001</v>
      </c>
      <c r="I143" s="45">
        <f>SUMIFS('2024 IS'!C:C,'2024 IS'!A:A,B143)</f>
        <v>1346.57</v>
      </c>
      <c r="J143" s="45">
        <f>SUMIFS('2025 IS'!C:C,'2025 IS'!A:A,B143)</f>
        <v>0</v>
      </c>
    </row>
    <row r="144" spans="2:10" x14ac:dyDescent="0.25">
      <c r="B144" s="35" t="s">
        <v>103</v>
      </c>
      <c r="C144" t="s">
        <v>102</v>
      </c>
      <c r="D144" t="str">
        <f>_xlfn.XLOOKUP(B144,'Chart of Accounts'!B:B,'Chart of Accounts'!D:D)</f>
        <v>Building Expenses</v>
      </c>
      <c r="E144" t="s">
        <v>468</v>
      </c>
      <c r="F144" s="45">
        <f>SUMIFS('2021 IS'!C:C,'2021 IS'!A:A,B144)</f>
        <v>6800.42</v>
      </c>
      <c r="G144" s="45">
        <f>SUMIFS('2022 IS'!C:C,'2022 IS'!A:A,B144)</f>
        <v>3770.62</v>
      </c>
      <c r="H144" s="45">
        <f>SUMIFS('2023 IS'!C:C,'2023 IS'!A:A,B144)</f>
        <v>3489.11</v>
      </c>
      <c r="I144" s="45">
        <f>SUMIFS('2024 IS'!C:C,'2024 IS'!A:A,B144)</f>
        <v>-2306.7800000000002</v>
      </c>
      <c r="J144" s="45">
        <f>SUMIFS('2025 IS'!C:C,'2025 IS'!A:A,B144)</f>
        <v>0</v>
      </c>
    </row>
    <row r="145" spans="2:10" x14ac:dyDescent="0.25">
      <c r="B145" s="35" t="s">
        <v>101</v>
      </c>
      <c r="C145" t="s">
        <v>100</v>
      </c>
      <c r="D145" t="str">
        <f>_xlfn.XLOOKUP(B145,'Chart of Accounts'!B:B,'Chart of Accounts'!D:D)</f>
        <v>Building Expenses</v>
      </c>
      <c r="E145" t="s">
        <v>468</v>
      </c>
      <c r="F145" s="45">
        <f>SUMIFS('2021 IS'!C:C,'2021 IS'!A:A,B145)</f>
        <v>459.36</v>
      </c>
      <c r="G145" s="45">
        <f>SUMIFS('2022 IS'!C:C,'2022 IS'!A:A,B145)</f>
        <v>474.96</v>
      </c>
      <c r="H145" s="45">
        <f>SUMIFS('2023 IS'!C:C,'2023 IS'!A:A,B145)</f>
        <v>489.72</v>
      </c>
      <c r="I145" s="45">
        <f>SUMIFS('2024 IS'!C:C,'2024 IS'!A:A,B145)</f>
        <v>0</v>
      </c>
      <c r="J145" s="45">
        <f>SUMIFS('2025 IS'!C:C,'2025 IS'!A:A,B145)</f>
        <v>0</v>
      </c>
    </row>
    <row r="146" spans="2:10" x14ac:dyDescent="0.25">
      <c r="B146" s="35" t="s">
        <v>99</v>
      </c>
      <c r="C146" t="s">
        <v>98</v>
      </c>
      <c r="D146" t="str">
        <f>_xlfn.XLOOKUP(B146,'Chart of Accounts'!B:B,'Chart of Accounts'!D:D)</f>
        <v>Profit Sharing</v>
      </c>
      <c r="E146" t="s">
        <v>468</v>
      </c>
      <c r="F146" s="45">
        <f>SUMIFS('2021 IS'!C:C,'2021 IS'!A:A,B146)</f>
        <v>250000</v>
      </c>
      <c r="G146" s="45">
        <f>SUMIFS('2022 IS'!C:C,'2022 IS'!A:A,B146)</f>
        <v>150000</v>
      </c>
      <c r="H146" s="45">
        <f>SUMIFS('2023 IS'!C:C,'2023 IS'!A:A,B146)</f>
        <v>175000</v>
      </c>
      <c r="I146" s="45">
        <f>SUMIFS('2024 IS'!C:C,'2024 IS'!A:A,B146)</f>
        <v>50000</v>
      </c>
      <c r="J146" s="45">
        <f>SUMIFS('2025 IS'!C:C,'2025 IS'!A:A,B146)</f>
        <v>0</v>
      </c>
    </row>
    <row r="147" spans="2:10" x14ac:dyDescent="0.25">
      <c r="B147" s="35" t="s">
        <v>97</v>
      </c>
      <c r="C147" t="s">
        <v>96</v>
      </c>
      <c r="D147" t="str">
        <f>_xlfn.XLOOKUP(B147,'Chart of Accounts'!B:B,'Chart of Accounts'!D:D)</f>
        <v>Other Expenses</v>
      </c>
      <c r="E147" t="s">
        <v>468</v>
      </c>
      <c r="F147" s="45">
        <f>SUMIFS('2021 IS'!C:C,'2021 IS'!A:A,B147)</f>
        <v>0</v>
      </c>
      <c r="G147" s="45">
        <f>SUMIFS('2022 IS'!C:C,'2022 IS'!A:A,B147)</f>
        <v>0</v>
      </c>
      <c r="H147" s="45">
        <f>SUMIFS('2023 IS'!C:C,'2023 IS'!A:A,B147)</f>
        <v>0</v>
      </c>
      <c r="I147" s="45">
        <f>SUMIFS('2024 IS'!C:C,'2024 IS'!A:A,B147)</f>
        <v>0</v>
      </c>
      <c r="J147" s="45">
        <f>SUMIFS('2025 IS'!C:C,'2025 IS'!A:A,B147)</f>
        <v>0</v>
      </c>
    </row>
    <row r="148" spans="2:10" x14ac:dyDescent="0.25">
      <c r="B148" s="35" t="s">
        <v>95</v>
      </c>
      <c r="C148" t="s">
        <v>94</v>
      </c>
      <c r="D148" t="str">
        <f>_xlfn.XLOOKUP(B148,'Chart of Accounts'!B:B,'Chart of Accounts'!D:D)</f>
        <v>Other Expenses</v>
      </c>
      <c r="E148" t="s">
        <v>468</v>
      </c>
      <c r="F148" s="45">
        <f>SUMIFS('2021 IS'!C:C,'2021 IS'!A:A,B148)</f>
        <v>0</v>
      </c>
      <c r="G148" s="45">
        <f>SUMIFS('2022 IS'!C:C,'2022 IS'!A:A,B148)</f>
        <v>0</v>
      </c>
      <c r="H148" s="45">
        <f>SUMIFS('2023 IS'!C:C,'2023 IS'!A:A,B148)</f>
        <v>0</v>
      </c>
      <c r="I148" s="45">
        <f>SUMIFS('2024 IS'!C:C,'2024 IS'!A:A,B148)</f>
        <v>265.27</v>
      </c>
      <c r="J148" s="45">
        <f>SUMIFS('2025 IS'!C:C,'2025 IS'!A:A,B148)</f>
        <v>265.27</v>
      </c>
    </row>
    <row r="149" spans="2:10" x14ac:dyDescent="0.25">
      <c r="B149" s="35" t="s">
        <v>93</v>
      </c>
      <c r="C149" t="s">
        <v>92</v>
      </c>
      <c r="D149" t="str">
        <f>_xlfn.XLOOKUP(B149,'Chart of Accounts'!B:B,'Chart of Accounts'!D:D)</f>
        <v>Depreciation &amp; Amortization</v>
      </c>
      <c r="E149" t="s">
        <v>468</v>
      </c>
      <c r="F149" s="45">
        <f>SUMIFS('2021 IS'!C:C,'2021 IS'!A:A,B149)</f>
        <v>875</v>
      </c>
      <c r="G149" s="45">
        <f>SUMIFS('2022 IS'!C:C,'2022 IS'!A:A,B149)</f>
        <v>2169.25</v>
      </c>
      <c r="H149" s="45">
        <f>SUMIFS('2023 IS'!C:C,'2023 IS'!A:A,B149)</f>
        <v>1131.3</v>
      </c>
      <c r="I149" s="45">
        <f>SUMIFS('2024 IS'!C:C,'2024 IS'!A:A,B149)</f>
        <v>16415.400000000001</v>
      </c>
      <c r="J149" s="45">
        <f>SUMIFS('2025 IS'!C:C,'2025 IS'!A:A,B149)</f>
        <v>0</v>
      </c>
    </row>
    <row r="150" spans="2:10" x14ac:dyDescent="0.25">
      <c r="B150" s="35" t="s">
        <v>91</v>
      </c>
      <c r="C150" t="s">
        <v>90</v>
      </c>
      <c r="D150" t="str">
        <f>_xlfn.XLOOKUP(B150,'Chart of Accounts'!B:B,'Chart of Accounts'!D:D)</f>
        <v>Other Expenses</v>
      </c>
      <c r="E150" t="s">
        <v>468</v>
      </c>
      <c r="F150" s="45">
        <f>SUMIFS('2021 IS'!C:C,'2021 IS'!A:A,B150)</f>
        <v>0</v>
      </c>
      <c r="G150" s="45">
        <f>SUMIFS('2022 IS'!C:C,'2022 IS'!A:A,B150)</f>
        <v>0</v>
      </c>
      <c r="H150" s="45">
        <f>SUMIFS('2023 IS'!C:C,'2023 IS'!A:A,B150)</f>
        <v>0</v>
      </c>
      <c r="I150" s="45">
        <f>SUMIFS('2024 IS'!C:C,'2024 IS'!A:A,B150)</f>
        <v>0</v>
      </c>
      <c r="J150" s="45">
        <f>SUMIFS('2025 IS'!C:C,'2025 IS'!A:A,B150)</f>
        <v>0</v>
      </c>
    </row>
    <row r="151" spans="2:10" x14ac:dyDescent="0.25">
      <c r="B151" s="35" t="s">
        <v>89</v>
      </c>
      <c r="C151" t="s">
        <v>88</v>
      </c>
      <c r="D151" t="str">
        <f>_xlfn.XLOOKUP(B151,'Chart of Accounts'!B:B,'Chart of Accounts'!D:D)</f>
        <v>Other Expenses</v>
      </c>
      <c r="E151" t="s">
        <v>468</v>
      </c>
      <c r="F151" s="45">
        <f>SUMIFS('2021 IS'!C:C,'2021 IS'!A:A,B151)</f>
        <v>0</v>
      </c>
      <c r="G151" s="45">
        <f>SUMIFS('2022 IS'!C:C,'2022 IS'!A:A,B151)</f>
        <v>0</v>
      </c>
      <c r="H151" s="45">
        <f>SUMIFS('2023 IS'!C:C,'2023 IS'!A:A,B151)</f>
        <v>0</v>
      </c>
      <c r="I151" s="45">
        <f>SUMIFS('2024 IS'!C:C,'2024 IS'!A:A,B151)</f>
        <v>0</v>
      </c>
      <c r="J151" s="45">
        <f>SUMIFS('2025 IS'!C:C,'2025 IS'!A:A,B151)</f>
        <v>0</v>
      </c>
    </row>
    <row r="152" spans="2:10" x14ac:dyDescent="0.25">
      <c r="B152" s="35" t="s">
        <v>85</v>
      </c>
      <c r="C152" t="s">
        <v>84</v>
      </c>
      <c r="D152" t="str">
        <f>_xlfn.XLOOKUP(B152,'Chart of Accounts'!B:B,'Chart of Accounts'!D:D)</f>
        <v>Other Income and Expense</v>
      </c>
      <c r="E152" t="s">
        <v>470</v>
      </c>
      <c r="F152" s="45">
        <f>SUMIFS('2021 IS'!C:C,'2021 IS'!A:A,B152)</f>
        <v>0</v>
      </c>
      <c r="G152" s="45">
        <f>SUMIFS('2022 IS'!C:C,'2022 IS'!A:A,B152)</f>
        <v>-65.900000000000006</v>
      </c>
      <c r="H152" s="45">
        <f>SUMIFS('2023 IS'!C:C,'2023 IS'!A:A,B152)</f>
        <v>19.87</v>
      </c>
      <c r="I152" s="45">
        <f>SUMIFS('2024 IS'!C:C,'2024 IS'!A:A,B152)</f>
        <v>0</v>
      </c>
      <c r="J152" s="45">
        <f>SUMIFS('2025 IS'!C:C,'2025 IS'!A:A,B152)</f>
        <v>-259.85000000000002</v>
      </c>
    </row>
    <row r="153" spans="2:10" x14ac:dyDescent="0.25">
      <c r="B153" s="35" t="s">
        <v>83</v>
      </c>
      <c r="C153" t="s">
        <v>82</v>
      </c>
      <c r="D153" t="str">
        <f>_xlfn.XLOOKUP(B153,'Chart of Accounts'!B:B,'Chart of Accounts'!D:D)</f>
        <v>Other Income and Expense</v>
      </c>
      <c r="E153" t="s">
        <v>470</v>
      </c>
      <c r="F153" s="45">
        <f>SUMIFS('2021 IS'!C:C,'2021 IS'!A:A,B153)</f>
        <v>541.39</v>
      </c>
      <c r="G153" s="45">
        <f>SUMIFS('2022 IS'!C:C,'2022 IS'!A:A,B153)</f>
        <v>450.12</v>
      </c>
      <c r="H153" s="45">
        <f>SUMIFS('2023 IS'!C:C,'2023 IS'!A:A,B153)</f>
        <v>389.24</v>
      </c>
      <c r="I153" s="45">
        <f>SUMIFS('2024 IS'!C:C,'2024 IS'!A:A,B153)</f>
        <v>995.38</v>
      </c>
      <c r="J153" s="45">
        <f>SUMIFS('2025 IS'!C:C,'2025 IS'!A:A,B153)</f>
        <v>1096.5999999999999</v>
      </c>
    </row>
    <row r="154" spans="2:10" x14ac:dyDescent="0.25">
      <c r="B154" s="35" t="s">
        <v>81</v>
      </c>
      <c r="C154" t="s">
        <v>80</v>
      </c>
      <c r="D154" t="str">
        <f>_xlfn.XLOOKUP(B154,'Chart of Accounts'!B:B,'Chart of Accounts'!D:D)</f>
        <v>Interest Income</v>
      </c>
      <c r="E154" t="s">
        <v>470</v>
      </c>
      <c r="F154" s="45">
        <f>SUMIFS('2021 IS'!C:C,'2021 IS'!A:A,B154)</f>
        <v>0.96</v>
      </c>
      <c r="G154" s="45">
        <f>SUMIFS('2022 IS'!C:C,'2022 IS'!A:A,B154)</f>
        <v>0</v>
      </c>
      <c r="H154" s="45">
        <f>SUMIFS('2023 IS'!C:C,'2023 IS'!A:A,B154)</f>
        <v>0</v>
      </c>
      <c r="I154" s="45">
        <f>SUMIFS('2024 IS'!C:C,'2024 IS'!A:A,B154)</f>
        <v>0.72</v>
      </c>
      <c r="J154" s="45">
        <f>SUMIFS('2025 IS'!C:C,'2025 IS'!A:A,B154)</f>
        <v>0.02</v>
      </c>
    </row>
    <row r="155" spans="2:10" x14ac:dyDescent="0.25">
      <c r="B155" s="35" t="s">
        <v>79</v>
      </c>
      <c r="C155" t="s">
        <v>78</v>
      </c>
      <c r="D155" t="str">
        <f>_xlfn.XLOOKUP(B155,'Chart of Accounts'!B:B,'Chart of Accounts'!D:D)</f>
        <v>Interest Expense</v>
      </c>
      <c r="E155" t="s">
        <v>470</v>
      </c>
      <c r="F155" s="45">
        <f>SUMIFS('2021 IS'!C:C,'2021 IS'!A:A,B155)</f>
        <v>0</v>
      </c>
      <c r="G155" s="45">
        <f>SUMIFS('2022 IS'!C:C,'2022 IS'!A:A,B155)</f>
        <v>-135.63999999999999</v>
      </c>
      <c r="H155" s="45">
        <f>SUMIFS('2023 IS'!C:C,'2023 IS'!A:A,B155)</f>
        <v>-3878.91</v>
      </c>
      <c r="I155" s="45">
        <f>SUMIFS('2024 IS'!C:C,'2024 IS'!A:A,B155)</f>
        <v>-240.56</v>
      </c>
      <c r="J155" s="45">
        <f>SUMIFS('2025 IS'!C:C,'2025 IS'!A:A,B155)</f>
        <v>-724.46</v>
      </c>
    </row>
    <row r="156" spans="2:10" x14ac:dyDescent="0.25">
      <c r="B156" s="35" t="s">
        <v>77</v>
      </c>
      <c r="C156" t="s">
        <v>76</v>
      </c>
      <c r="D156" t="str">
        <f>_xlfn.XLOOKUP(B156,'Chart of Accounts'!B:B,'Chart of Accounts'!D:D)</f>
        <v>Investment Income</v>
      </c>
      <c r="E156" t="s">
        <v>470</v>
      </c>
      <c r="F156" s="45">
        <f>SUMIFS('2021 IS'!C:C,'2021 IS'!A:A,B156)</f>
        <v>5872.84</v>
      </c>
      <c r="G156" s="45">
        <f>SUMIFS('2022 IS'!C:C,'2022 IS'!A:A,B156)</f>
        <v>3448.65</v>
      </c>
      <c r="H156" s="45">
        <f>SUMIFS('2023 IS'!C:C,'2023 IS'!A:A,B156)</f>
        <v>3801.01</v>
      </c>
      <c r="I156" s="45">
        <f>SUMIFS('2024 IS'!C:C,'2024 IS'!A:A,B156)</f>
        <v>4698.91</v>
      </c>
      <c r="J156" s="45">
        <f>SUMIFS('2025 IS'!C:C,'2025 IS'!A:A,B156)</f>
        <v>7147.64</v>
      </c>
    </row>
    <row r="157" spans="2:10" x14ac:dyDescent="0.25">
      <c r="B157" s="35" t="s">
        <v>75</v>
      </c>
      <c r="C157" t="s">
        <v>74</v>
      </c>
      <c r="D157" t="str">
        <f>_xlfn.XLOOKUP(B157,'Chart of Accounts'!B:B,'Chart of Accounts'!D:D)</f>
        <v>Other Income and Expense</v>
      </c>
      <c r="E157" t="s">
        <v>470</v>
      </c>
      <c r="F157" s="45">
        <f>SUMIFS('2021 IS'!C:C,'2021 IS'!A:A,B157)</f>
        <v>0</v>
      </c>
      <c r="G157" s="45">
        <f>SUMIFS('2022 IS'!C:C,'2022 IS'!A:A,B157)</f>
        <v>0</v>
      </c>
      <c r="H157" s="45">
        <f>SUMIFS('2023 IS'!C:C,'2023 IS'!A:A,B157)</f>
        <v>0</v>
      </c>
      <c r="I157" s="45">
        <f>SUMIFS('2024 IS'!C:C,'2024 IS'!A:A,B157)</f>
        <v>0</v>
      </c>
      <c r="J157" s="45">
        <f>SUMIFS('2025 IS'!C:C,'2025 IS'!A:A,B157)</f>
        <v>0</v>
      </c>
    </row>
    <row r="158" spans="2:10" x14ac:dyDescent="0.25">
      <c r="B158" s="35" t="s">
        <v>73</v>
      </c>
      <c r="C158" t="s">
        <v>72</v>
      </c>
      <c r="D158" t="str">
        <f>_xlfn.XLOOKUP(B158,'Chart of Accounts'!B:B,'Chart of Accounts'!D:D)</f>
        <v>Other Income and Expense</v>
      </c>
      <c r="E158" t="s">
        <v>470</v>
      </c>
      <c r="F158" s="45">
        <f>SUMIFS('2021 IS'!C:C,'2021 IS'!A:A,B158)</f>
        <v>0</v>
      </c>
      <c r="G158" s="45">
        <f>SUMIFS('2022 IS'!C:C,'2022 IS'!A:A,B158)</f>
        <v>0</v>
      </c>
      <c r="H158" s="45">
        <f>SUMIFS('2023 IS'!C:C,'2023 IS'!A:A,B158)</f>
        <v>0</v>
      </c>
      <c r="I158" s="45">
        <f>SUMIFS('2024 IS'!C:C,'2024 IS'!A:A,B158)</f>
        <v>0</v>
      </c>
      <c r="J158" s="45">
        <f>SUMIFS('2025 IS'!C:C,'2025 IS'!A:A,B158)</f>
        <v>0</v>
      </c>
    </row>
    <row r="159" spans="2:10" x14ac:dyDescent="0.25">
      <c r="B159" s="35" t="s">
        <v>71</v>
      </c>
      <c r="C159" t="s">
        <v>70</v>
      </c>
      <c r="D159" t="str">
        <f>_xlfn.XLOOKUP(B159,'Chart of Accounts'!B:B,'Chart of Accounts'!D:D)</f>
        <v>Other Income and Expense</v>
      </c>
      <c r="E159" t="s">
        <v>470</v>
      </c>
      <c r="F159" s="45">
        <f>SUMIFS('2021 IS'!C:C,'2021 IS'!A:A,B159)</f>
        <v>0</v>
      </c>
      <c r="G159" s="45">
        <f>SUMIFS('2022 IS'!C:C,'2022 IS'!A:A,B159)</f>
        <v>0</v>
      </c>
      <c r="H159" s="45">
        <f>SUMIFS('2023 IS'!C:C,'2023 IS'!A:A,B159)</f>
        <v>0</v>
      </c>
      <c r="I159" s="45">
        <f>SUMIFS('2024 IS'!C:C,'2024 IS'!A:A,B159)</f>
        <v>0</v>
      </c>
      <c r="J159" s="45">
        <f>SUMIFS('2025 IS'!C:C,'2025 IS'!A:A,B159)</f>
        <v>0</v>
      </c>
    </row>
    <row r="160" spans="2:10" x14ac:dyDescent="0.25">
      <c r="B160" s="35" t="s">
        <v>69</v>
      </c>
      <c r="C160" t="s">
        <v>68</v>
      </c>
      <c r="D160" t="str">
        <f>_xlfn.XLOOKUP(B160,'Chart of Accounts'!B:B,'Chart of Accounts'!D:D)</f>
        <v>Other Income and Expense</v>
      </c>
      <c r="E160" t="s">
        <v>470</v>
      </c>
      <c r="F160" s="45">
        <f>SUMIFS('2021 IS'!C:C,'2021 IS'!A:A,B160)</f>
        <v>0</v>
      </c>
      <c r="G160" s="45">
        <f>SUMIFS('2022 IS'!C:C,'2022 IS'!A:A,B160)</f>
        <v>0</v>
      </c>
      <c r="H160" s="45">
        <f>SUMIFS('2023 IS'!C:C,'2023 IS'!A:A,B160)</f>
        <v>0</v>
      </c>
      <c r="I160" s="45">
        <f>SUMIFS('2024 IS'!C:C,'2024 IS'!A:A,B160)</f>
        <v>0</v>
      </c>
      <c r="J160" s="45">
        <f>SUMIFS('2025 IS'!C:C,'2025 IS'!A:A,B160)</f>
        <v>0</v>
      </c>
    </row>
    <row r="161" spans="2:10" x14ac:dyDescent="0.25">
      <c r="B161" s="35" t="s">
        <v>67</v>
      </c>
      <c r="C161" t="s">
        <v>66</v>
      </c>
      <c r="D161" t="str">
        <f>_xlfn.XLOOKUP(B161,'Chart of Accounts'!B:B,'Chart of Accounts'!D:D)</f>
        <v>Other Income and Expense</v>
      </c>
      <c r="E161" t="s">
        <v>470</v>
      </c>
      <c r="F161" s="45">
        <f>SUMIFS('2021 IS'!C:C,'2021 IS'!A:A,B161)</f>
        <v>0</v>
      </c>
      <c r="G161" s="45">
        <f>SUMIFS('2022 IS'!C:C,'2022 IS'!A:A,B161)</f>
        <v>0</v>
      </c>
      <c r="H161" s="45">
        <f>SUMIFS('2023 IS'!C:C,'2023 IS'!A:A,B161)</f>
        <v>0</v>
      </c>
      <c r="I161" s="45">
        <f>SUMIFS('2024 IS'!C:C,'2024 IS'!A:A,B161)</f>
        <v>0</v>
      </c>
      <c r="J161" s="45">
        <f>SUMIFS('2025 IS'!C:C,'2025 IS'!A:A,B161)</f>
        <v>0</v>
      </c>
    </row>
    <row r="162" spans="2:10" x14ac:dyDescent="0.25">
      <c r="B162" s="35" t="s">
        <v>65</v>
      </c>
      <c r="C162" t="s">
        <v>64</v>
      </c>
      <c r="D162" t="str">
        <f>_xlfn.XLOOKUP(B162,'Chart of Accounts'!B:B,'Chart of Accounts'!D:D)</f>
        <v>Gain (Loss) on disposal of assets</v>
      </c>
      <c r="E162" t="s">
        <v>470</v>
      </c>
      <c r="F162" s="45">
        <f>SUMIFS('2021 IS'!C:C,'2021 IS'!A:A,B162)</f>
        <v>0</v>
      </c>
      <c r="G162" s="45">
        <f>SUMIFS('2022 IS'!C:C,'2022 IS'!A:A,B162)</f>
        <v>0</v>
      </c>
      <c r="H162" s="45">
        <f>SUMIFS('2023 IS'!C:C,'2023 IS'!A:A,B162)</f>
        <v>0</v>
      </c>
      <c r="I162" s="45">
        <f>SUMIFS('2024 IS'!C:C,'2024 IS'!A:A,B162)</f>
        <v>-35311.14</v>
      </c>
      <c r="J162" s="45">
        <f>SUMIFS('2025 IS'!C:C,'2025 IS'!A:A,B162)</f>
        <v>0</v>
      </c>
    </row>
    <row r="163" spans="2:10" x14ac:dyDescent="0.25">
      <c r="B163" s="35" t="s">
        <v>63</v>
      </c>
      <c r="C163" t="s">
        <v>62</v>
      </c>
      <c r="D163" t="str">
        <f>_xlfn.XLOOKUP(B163,'Chart of Accounts'!B:B,'Chart of Accounts'!D:D)</f>
        <v>Other Income and Expense</v>
      </c>
      <c r="E163" t="s">
        <v>470</v>
      </c>
      <c r="F163" s="45">
        <f>SUMIFS('2021 IS'!C:C,'2021 IS'!A:A,B163)</f>
        <v>38.299999999999997</v>
      </c>
      <c r="G163" s="45">
        <f>SUMIFS('2022 IS'!C:C,'2022 IS'!A:A,B163)</f>
        <v>8746.18</v>
      </c>
      <c r="H163" s="45">
        <f>SUMIFS('2023 IS'!C:C,'2023 IS'!A:A,B163)</f>
        <v>0</v>
      </c>
      <c r="I163" s="45">
        <f>SUMIFS('2024 IS'!C:C,'2024 IS'!A:A,B163)</f>
        <v>0</v>
      </c>
      <c r="J163" s="45">
        <f>SUMIFS('2025 IS'!C:C,'2025 IS'!A:A,B163)</f>
        <v>0</v>
      </c>
    </row>
    <row r="164" spans="2:10" x14ac:dyDescent="0.25">
      <c r="B164" s="35" t="s">
        <v>58</v>
      </c>
      <c r="C164" t="s">
        <v>57</v>
      </c>
      <c r="D164" t="str">
        <f>_xlfn.XLOOKUP(B164,'Chart of Accounts'!B:B,'Chart of Accounts'!D:D)</f>
        <v>Corporate Taxes</v>
      </c>
      <c r="E164" t="s">
        <v>42</v>
      </c>
      <c r="F164" s="45">
        <f>SUMIFS('2021 IS'!C:C,'2021 IS'!A:A,B164)</f>
        <v>0</v>
      </c>
      <c r="G164" s="45">
        <f>SUMIFS('2022 IS'!C:C,'2022 IS'!A:A,B164)</f>
        <v>0</v>
      </c>
      <c r="H164" s="45">
        <f>SUMIFS('2023 IS'!C:C,'2023 IS'!A:A,B164)</f>
        <v>0</v>
      </c>
      <c r="I164" s="45">
        <f>SUMIFS('2024 IS'!C:C,'2024 IS'!A:A,B164)</f>
        <v>0</v>
      </c>
      <c r="J164" s="45">
        <f>SUMIFS('2025 IS'!C:C,'2025 IS'!A:A,B164)</f>
        <v>0</v>
      </c>
    </row>
    <row r="165" spans="2:10" x14ac:dyDescent="0.25">
      <c r="B165" s="35" t="s">
        <v>56</v>
      </c>
      <c r="C165" t="s">
        <v>55</v>
      </c>
      <c r="D165" t="str">
        <f>_xlfn.XLOOKUP(B165,'Chart of Accounts'!B:B,'Chart of Accounts'!D:D)</f>
        <v>Corporate Taxes</v>
      </c>
      <c r="E165" t="s">
        <v>42</v>
      </c>
      <c r="F165" s="45">
        <f>SUMIFS('2021 IS'!C:C,'2021 IS'!A:A,B165)</f>
        <v>0</v>
      </c>
      <c r="G165" s="45">
        <f>SUMIFS('2022 IS'!C:C,'2022 IS'!A:A,B165)</f>
        <v>0</v>
      </c>
      <c r="H165" s="45">
        <f>SUMIFS('2023 IS'!C:C,'2023 IS'!A:A,B165)</f>
        <v>0</v>
      </c>
      <c r="I165" s="45">
        <f>SUMIFS('2024 IS'!C:C,'2024 IS'!A:A,B165)</f>
        <v>0</v>
      </c>
      <c r="J165" s="45">
        <f>SUMIFS('2025 IS'!C:C,'2025 IS'!A:A,B165)</f>
        <v>0</v>
      </c>
    </row>
    <row r="166" spans="2:10" x14ac:dyDescent="0.25">
      <c r="B166" s="35" t="s">
        <v>54</v>
      </c>
      <c r="C166" t="s">
        <v>53</v>
      </c>
      <c r="D166" t="str">
        <f>_xlfn.XLOOKUP(B166,'Chart of Accounts'!B:B,'Chart of Accounts'!D:D)</f>
        <v>Corporate Taxes</v>
      </c>
      <c r="E166" t="s">
        <v>42</v>
      </c>
      <c r="F166" s="45">
        <f>SUMIFS('2021 IS'!C:C,'2021 IS'!A:A,B166)</f>
        <v>0</v>
      </c>
      <c r="G166" s="45">
        <f>SUMIFS('2022 IS'!C:C,'2022 IS'!A:A,B166)</f>
        <v>166364.31</v>
      </c>
      <c r="H166" s="45">
        <f>SUMIFS('2023 IS'!C:C,'2023 IS'!A:A,B166)</f>
        <v>26209.75</v>
      </c>
      <c r="I166" s="45">
        <f>SUMIFS('2024 IS'!C:C,'2024 IS'!A:A,B166)</f>
        <v>6209.75</v>
      </c>
      <c r="J166" s="45">
        <f>SUMIFS('2025 IS'!C:C,'2025 IS'!A:A,B166)</f>
        <v>0</v>
      </c>
    </row>
    <row r="167" spans="2:10" x14ac:dyDescent="0.25">
      <c r="B167"/>
    </row>
    <row r="168" spans="2:10" x14ac:dyDescent="0.25">
      <c r="B168"/>
    </row>
    <row r="169" spans="2:10" x14ac:dyDescent="0.25">
      <c r="B169"/>
    </row>
    <row r="170" spans="2:10" x14ac:dyDescent="0.25">
      <c r="B170"/>
    </row>
    <row r="171" spans="2:10" x14ac:dyDescent="0.25">
      <c r="B171"/>
    </row>
    <row r="172" spans="2:10" x14ac:dyDescent="0.25">
      <c r="B172"/>
    </row>
    <row r="173" spans="2:10" x14ac:dyDescent="0.25">
      <c r="B173"/>
    </row>
    <row r="174" spans="2:10" x14ac:dyDescent="0.25">
      <c r="B174"/>
    </row>
    <row r="175" spans="2:10" x14ac:dyDescent="0.25">
      <c r="B175"/>
    </row>
    <row r="176" spans="2:10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</sheetData>
  <pageMargins left="0.7" right="0.7" top="0.75" bottom="0.75" header="0.3" footer="0.3"/>
  <pageSetup scale="3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C550-0573-400A-ABDA-B68BFC41A37B}">
  <dimension ref="B1:J851"/>
  <sheetViews>
    <sheetView showGridLines="0" view="pageBreakPreview" zoomScale="85" zoomScaleNormal="100" zoomScaleSheetLayoutView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5" sqref="F5"/>
    </sheetView>
  </sheetViews>
  <sheetFormatPr defaultRowHeight="12.5" x14ac:dyDescent="0.25"/>
  <cols>
    <col min="1" max="1" width="2.6328125" customWidth="1"/>
    <col min="2" max="2" width="27.81640625" style="40" bestFit="1" customWidth="1"/>
    <col min="3" max="3" width="34.90625" bestFit="1" customWidth="1"/>
    <col min="4" max="4" width="34.90625" customWidth="1"/>
    <col min="5" max="5" width="22.90625" bestFit="1" customWidth="1"/>
    <col min="6" max="10" width="12.6328125" customWidth="1"/>
  </cols>
  <sheetData>
    <row r="1" spans="2:10" ht="13" x14ac:dyDescent="0.3">
      <c r="B1" s="36" t="s">
        <v>462</v>
      </c>
    </row>
    <row r="2" spans="2:10" ht="13" x14ac:dyDescent="0.3">
      <c r="B2" s="41" t="s">
        <v>541</v>
      </c>
      <c r="C2" s="42"/>
      <c r="D2" s="42"/>
      <c r="E2" s="42"/>
      <c r="F2" s="42"/>
      <c r="G2" s="42"/>
      <c r="H2" s="42"/>
      <c r="I2" s="42"/>
      <c r="J2" s="42"/>
    </row>
    <row r="3" spans="2:10" ht="13" x14ac:dyDescent="0.3">
      <c r="B3" s="37"/>
    </row>
    <row r="4" spans="2:10" ht="16" x14ac:dyDescent="0.6">
      <c r="B4" s="38" t="s">
        <v>463</v>
      </c>
      <c r="C4" s="39" t="s">
        <v>464</v>
      </c>
      <c r="D4" s="39" t="s">
        <v>471</v>
      </c>
      <c r="E4" s="39" t="s">
        <v>465</v>
      </c>
      <c r="F4" s="43">
        <v>44561</v>
      </c>
      <c r="G4" s="43">
        <f>EOMONTH(F4,12)</f>
        <v>44926</v>
      </c>
      <c r="H4" s="43">
        <f t="shared" ref="H4:I4" si="0">EOMONTH(G4,12)</f>
        <v>45291</v>
      </c>
      <c r="I4" s="43">
        <f t="shared" si="0"/>
        <v>45657</v>
      </c>
      <c r="J4" s="43">
        <f>EOMONTH(I4,9)</f>
        <v>45930</v>
      </c>
    </row>
    <row r="5" spans="2:10" x14ac:dyDescent="0.25">
      <c r="B5" s="57" t="s">
        <v>444</v>
      </c>
      <c r="C5" t="str">
        <f>_xlfn.XLOOKUP(B5,'Chart of Accounts'!B:B,'Chart of Accounts'!C:C)</f>
        <v xml:space="preserve">   -Chase - Checking</v>
      </c>
      <c r="D5" t="str">
        <f>_xlfn.XLOOKUP(B5,'Chart of Accounts'!B:B,'Chart of Accounts'!D:D)</f>
        <v>Cash</v>
      </c>
      <c r="E5" t="s">
        <v>511</v>
      </c>
      <c r="F5" s="45">
        <f>SUMIFS('2022 BS'!D:D,'2022 BS'!A:A,$B5)</f>
        <v>968363.21</v>
      </c>
      <c r="G5" s="45">
        <f>SUMIFS('2022 BS'!C:C,'2022 BS'!A:A,B5)</f>
        <v>2210695.38</v>
      </c>
      <c r="H5" s="45">
        <f>SUMIFS('2023 BS'!C:C,'2023 BS'!A:A,B5)</f>
        <v>1598672.4</v>
      </c>
      <c r="I5" s="45">
        <f>SUMIFS('2024 BS'!C:C,'2024 BS'!A:A,B5)</f>
        <v>533754.04</v>
      </c>
      <c r="J5" s="45">
        <f>SUMIFS('Sep 2025 BS'!C:C,'Sep 2025 BS'!A:A,B5)</f>
        <v>382938.75</v>
      </c>
    </row>
    <row r="6" spans="2:10" x14ac:dyDescent="0.25">
      <c r="B6" s="57" t="s">
        <v>442</v>
      </c>
      <c r="C6" t="str">
        <f>_xlfn.XLOOKUP(B6,'Chart of Accounts'!B:B,'Chart of Accounts'!C:C)</f>
        <v xml:space="preserve">   -Chase  - Payroll</v>
      </c>
      <c r="D6" t="str">
        <f>_xlfn.XLOOKUP(B6,'Chart of Accounts'!B:B,'Chart of Accounts'!D:D)</f>
        <v>Cash</v>
      </c>
      <c r="E6" t="s">
        <v>511</v>
      </c>
      <c r="F6" s="45">
        <f>SUMIFS('2022 BS'!D:D,'2022 BS'!A:A,$B6)</f>
        <v>223606.31</v>
      </c>
      <c r="G6" s="45">
        <f>SUMIFS('2022 BS'!C:C,'2022 BS'!A:A,B6)</f>
        <v>185561.08</v>
      </c>
      <c r="H6" s="45">
        <f>SUMIFS('2023 BS'!C:C,'2023 BS'!A:A,B6)</f>
        <v>14095.12</v>
      </c>
      <c r="I6" s="45">
        <f>SUMIFS('2024 BS'!C:C,'2024 BS'!A:A,B6)</f>
        <v>131962.6</v>
      </c>
      <c r="J6" s="45">
        <f>SUMIFS('Sep 2025 BS'!C:C,'Sep 2025 BS'!A:A,B6)</f>
        <v>116237.34</v>
      </c>
    </row>
    <row r="7" spans="2:10" x14ac:dyDescent="0.25">
      <c r="B7" s="57" t="s">
        <v>440</v>
      </c>
      <c r="C7" t="str">
        <f>_xlfn.XLOOKUP(B7,'Chart of Accounts'!B:B,'Chart of Accounts'!C:C)</f>
        <v xml:space="preserve">   -Chase - AR Payments</v>
      </c>
      <c r="D7" t="str">
        <f>_xlfn.XLOOKUP(B7,'Chart of Accounts'!B:B,'Chart of Accounts'!D:D)</f>
        <v>Cash</v>
      </c>
      <c r="E7" t="s">
        <v>511</v>
      </c>
      <c r="F7" s="45">
        <f>SUMIFS('2022 BS'!D:D,'2022 BS'!A:A,$B7)</f>
        <v>6738.44</v>
      </c>
      <c r="G7" s="45">
        <f>SUMIFS('2022 BS'!C:C,'2022 BS'!A:A,B7)</f>
        <v>2000</v>
      </c>
      <c r="H7" s="45">
        <f>SUMIFS('2023 BS'!C:C,'2023 BS'!A:A,B7)</f>
        <v>2000</v>
      </c>
      <c r="I7" s="45">
        <f>SUMIFS('2024 BS'!C:C,'2024 BS'!A:A,B7)</f>
        <v>360982.28</v>
      </c>
      <c r="J7" s="45">
        <f>SUMIFS('Sep 2025 BS'!C:C,'Sep 2025 BS'!A:A,B7)</f>
        <v>81142.259999999995</v>
      </c>
    </row>
    <row r="8" spans="2:10" x14ac:dyDescent="0.25">
      <c r="B8" s="57" t="s">
        <v>428</v>
      </c>
      <c r="C8" t="str">
        <f>_xlfn.XLOOKUP(B8,'Chart of Accounts'!B:B,'Chart of Accounts'!C:C)</f>
        <v xml:space="preserve">   -Allowance for Doubtful Accounts</v>
      </c>
      <c r="D8" t="str">
        <f>_xlfn.XLOOKUP(B8,'Chart of Accounts'!B:B,'Chart of Accounts'!D:D)</f>
        <v>Allowance for Doubtful Accounts</v>
      </c>
      <c r="E8" t="s">
        <v>511</v>
      </c>
      <c r="F8" s="45">
        <f>SUMIFS('2022 BS'!D:D,'2022 BS'!A:A,$B8)</f>
        <v>-15130.57</v>
      </c>
      <c r="G8" s="45">
        <f>SUMIFS('2022 BS'!C:C,'2022 BS'!A:A,B8)</f>
        <v>-15130.57</v>
      </c>
      <c r="H8" s="45">
        <f>SUMIFS('2023 BS'!C:C,'2023 BS'!A:A,B8)</f>
        <v>-15130.57</v>
      </c>
      <c r="I8" s="45">
        <f>SUMIFS('2024 BS'!C:C,'2024 BS'!A:A,B8)</f>
        <v>-15130.57</v>
      </c>
      <c r="J8" s="45">
        <f>SUMIFS('Sep 2025 BS'!C:C,'Sep 2025 BS'!A:A,B8)</f>
        <v>-15130.57</v>
      </c>
    </row>
    <row r="9" spans="2:10" x14ac:dyDescent="0.25">
      <c r="B9" s="57" t="s">
        <v>426</v>
      </c>
      <c r="C9" t="str">
        <f>_xlfn.XLOOKUP(B9,'Chart of Accounts'!B:B,'Chart of Accounts'!C:C)</f>
        <v xml:space="preserve">   -Customer Deposits</v>
      </c>
      <c r="D9" t="str">
        <f>_xlfn.XLOOKUP(B9,'Chart of Accounts'!B:B,'Chart of Accounts'!D:D)</f>
        <v>Customer Depsits</v>
      </c>
      <c r="E9" t="s">
        <v>511</v>
      </c>
      <c r="F9" s="45">
        <f>SUMIFS('2022 BS'!D:D,'2022 BS'!A:A,$B9)</f>
        <v>-24542.41</v>
      </c>
      <c r="G9" s="45">
        <f>SUMIFS('2022 BS'!C:C,'2022 BS'!A:A,B9)</f>
        <v>-18599.3</v>
      </c>
      <c r="H9" s="45">
        <f>SUMIFS('2023 BS'!C:C,'2023 BS'!A:A,B9)</f>
        <v>-28159.91</v>
      </c>
      <c r="I9" s="45">
        <f>SUMIFS('2024 BS'!C:C,'2024 BS'!A:A,B9)</f>
        <v>-31574.74</v>
      </c>
      <c r="J9" s="45">
        <f>SUMIFS('Sep 2025 BS'!C:C,'Sep 2025 BS'!A:A,B9)</f>
        <v>-19542.759999999998</v>
      </c>
    </row>
    <row r="10" spans="2:10" x14ac:dyDescent="0.25">
      <c r="B10" s="57" t="s">
        <v>460</v>
      </c>
      <c r="C10" t="str">
        <f>_xlfn.XLOOKUP(B10,'Chart of Accounts'!B:B,'Chart of Accounts'!C:C)</f>
        <v xml:space="preserve">   -A/R - Other</v>
      </c>
      <c r="D10" t="str">
        <f>_xlfn.XLOOKUP(B10,'Chart of Accounts'!B:B,'Chart of Accounts'!D:D)</f>
        <v>Accounts Receivable</v>
      </c>
      <c r="E10" t="s">
        <v>511</v>
      </c>
      <c r="F10" s="45">
        <f>SUMIFS('2022 BS'!D:D,'2022 BS'!A:A,$B10)</f>
        <v>0</v>
      </c>
      <c r="G10" s="45">
        <f>SUMIFS('2022 BS'!C:C,'2022 BS'!A:A,B10)</f>
        <v>0</v>
      </c>
      <c r="H10" s="45">
        <f>SUMIFS('2023 BS'!C:C,'2023 BS'!A:A,B10)</f>
        <v>0</v>
      </c>
      <c r="I10" s="45">
        <f>SUMIFS('2024 BS'!C:C,'2024 BS'!A:A,B10)</f>
        <v>6098.5</v>
      </c>
      <c r="J10" s="45">
        <f>SUMIFS('Sep 2025 BS'!C:C,'Sep 2025 BS'!A:A,B10)</f>
        <v>0</v>
      </c>
    </row>
    <row r="11" spans="2:10" x14ac:dyDescent="0.25">
      <c r="B11" s="57" t="s">
        <v>434</v>
      </c>
      <c r="C11" t="str">
        <f>_xlfn.XLOOKUP(B11,'Chart of Accounts'!B:B,'Chart of Accounts'!C:C)</f>
        <v xml:space="preserve">   -Morgan Stanley</v>
      </c>
      <c r="D11" t="str">
        <f>_xlfn.XLOOKUP(B11,'Chart of Accounts'!B:B,'Chart of Accounts'!D:D)</f>
        <v>Investments</v>
      </c>
      <c r="E11" t="s">
        <v>511</v>
      </c>
      <c r="F11" s="45">
        <f>SUMIFS('2022 BS'!D:D,'2022 BS'!A:A,$B11)</f>
        <v>579372.30000000005</v>
      </c>
      <c r="G11" s="45">
        <f>SUMIFS('2022 BS'!C:C,'2022 BS'!A:A,B11)</f>
        <v>405784.26</v>
      </c>
      <c r="H11" s="45">
        <f>SUMIFS('2023 BS'!C:C,'2023 BS'!A:A,B11)</f>
        <v>420307.73</v>
      </c>
      <c r="I11" s="45">
        <f>SUMIFS('2024 BS'!C:C,'2024 BS'!A:A,B11)</f>
        <v>815111.44</v>
      </c>
      <c r="J11" s="45">
        <f>SUMIFS('Sep 2025 BS'!C:C,'Sep 2025 BS'!A:A,B11)</f>
        <v>1723864.36</v>
      </c>
    </row>
    <row r="12" spans="2:10" x14ac:dyDescent="0.25">
      <c r="B12" s="57" t="s">
        <v>432</v>
      </c>
      <c r="C12" t="str">
        <f>_xlfn.XLOOKUP(B12,'Chart of Accounts'!B:B,'Chart of Accounts'!C:C)</f>
        <v xml:space="preserve">   Charles Scwab</v>
      </c>
      <c r="D12" t="str">
        <f>_xlfn.XLOOKUP(B12,'Chart of Accounts'!B:B,'Chart of Accounts'!D:D)</f>
        <v>Investments</v>
      </c>
      <c r="E12" t="s">
        <v>511</v>
      </c>
      <c r="F12" s="45">
        <f>SUMIFS('2022 BS'!D:D,'2022 BS'!A:A,$B12)</f>
        <v>5785.03</v>
      </c>
      <c r="G12" s="45">
        <f>SUMIFS('2022 BS'!C:C,'2022 BS'!A:A,B12)</f>
        <v>0</v>
      </c>
      <c r="H12" s="45">
        <f>SUMIFS('2023 BS'!C:C,'2023 BS'!A:A,B12)</f>
        <v>0</v>
      </c>
      <c r="I12" s="45">
        <f>SUMIFS('2024 BS'!C:C,'2024 BS'!A:A,B12)</f>
        <v>0</v>
      </c>
      <c r="J12" s="45">
        <f>SUMIFS('Sep 2025 BS'!C:C,'Sep 2025 BS'!A:A,B12)</f>
        <v>0</v>
      </c>
    </row>
    <row r="13" spans="2:10" x14ac:dyDescent="0.25">
      <c r="B13" s="57" t="s">
        <v>438</v>
      </c>
      <c r="C13" t="str">
        <f>_xlfn.XLOOKUP(B13,'Chart of Accounts'!B:B,'Chart of Accounts'!C:C)</f>
        <v xml:space="preserve">   Petty Cash</v>
      </c>
      <c r="D13" t="str">
        <f>_xlfn.XLOOKUP(B13,'Chart of Accounts'!B:B,'Chart of Accounts'!D:D)</f>
        <v>Cash</v>
      </c>
      <c r="E13" t="s">
        <v>511</v>
      </c>
      <c r="F13" s="45">
        <f>SUMIFS('2022 BS'!D:D,'2022 BS'!A:A,$B13)</f>
        <v>500</v>
      </c>
      <c r="G13" s="45">
        <f>SUMIFS('2022 BS'!C:C,'2022 BS'!A:A,B13)</f>
        <v>500</v>
      </c>
      <c r="H13" s="45">
        <f>SUMIFS('2023 BS'!C:C,'2023 BS'!A:A,B13)</f>
        <v>500</v>
      </c>
      <c r="I13" s="45">
        <f>SUMIFS('2024 BS'!C:C,'2024 BS'!A:A,B13)</f>
        <v>0</v>
      </c>
      <c r="J13" s="45">
        <f>SUMIFS('Sep 2025 BS'!C:C,'Sep 2025 BS'!A:A,B13)</f>
        <v>0</v>
      </c>
    </row>
    <row r="14" spans="2:10" x14ac:dyDescent="0.25">
      <c r="B14" s="57" t="s">
        <v>424</v>
      </c>
      <c r="C14" t="str">
        <f>_xlfn.XLOOKUP(B14,'Chart of Accounts'!B:B,'Chart of Accounts'!C:C)</f>
        <v xml:space="preserve">   -Accounts Receivable</v>
      </c>
      <c r="D14" t="str">
        <f>_xlfn.XLOOKUP(B14,'Chart of Accounts'!B:B,'Chart of Accounts'!D:D)</f>
        <v>Accounts Receivable</v>
      </c>
      <c r="E14" t="s">
        <v>511</v>
      </c>
      <c r="F14" s="45">
        <f>SUMIFS('2022 BS'!D:D,'2022 BS'!A:A,$B14)</f>
        <v>1105726.31</v>
      </c>
      <c r="G14" s="45">
        <f>SUMIFS('2022 BS'!C:C,'2022 BS'!A:A,B14)</f>
        <v>525775.93999999994</v>
      </c>
      <c r="H14" s="45">
        <f>SUMIFS('2023 BS'!C:C,'2023 BS'!A:A,B14)</f>
        <v>1262808.81</v>
      </c>
      <c r="I14" s="45">
        <f>SUMIFS('2024 BS'!C:C,'2024 BS'!A:A,B14)</f>
        <v>1141704.1200000001</v>
      </c>
      <c r="J14" s="45">
        <f>SUMIFS('Sep 2025 BS'!C:C,'Sep 2025 BS'!A:A,B14)</f>
        <v>437988.79</v>
      </c>
    </row>
    <row r="15" spans="2:10" x14ac:dyDescent="0.25">
      <c r="B15" s="57" t="s">
        <v>420</v>
      </c>
      <c r="C15" t="str">
        <f>_xlfn.XLOOKUP(B15,'Chart of Accounts'!B:B,'Chart of Accounts'!C:C)</f>
        <v xml:space="preserve">   -Raw Material</v>
      </c>
      <c r="D15" t="str">
        <f>_xlfn.XLOOKUP(B15,'Chart of Accounts'!B:B,'Chart of Accounts'!D:D)</f>
        <v>Inventory</v>
      </c>
      <c r="E15" t="s">
        <v>511</v>
      </c>
      <c r="F15" s="45">
        <f>SUMIFS('2022 BS'!D:D,'2022 BS'!A:A,$B15)</f>
        <v>1415642.8</v>
      </c>
      <c r="G15" s="45">
        <f>SUMIFS('2022 BS'!C:C,'2022 BS'!A:A,B15)</f>
        <v>1444746.54</v>
      </c>
      <c r="H15" s="45">
        <f>SUMIFS('2023 BS'!C:C,'2023 BS'!A:A,B15)</f>
        <v>1624790.33</v>
      </c>
      <c r="I15" s="45">
        <f>SUMIFS('2024 BS'!C:C,'2024 BS'!A:A,B15)</f>
        <v>2020749.12</v>
      </c>
      <c r="J15" s="45">
        <f>SUMIFS('Sep 2025 BS'!C:C,'Sep 2025 BS'!A:A,B15)</f>
        <v>2080333.45</v>
      </c>
    </row>
    <row r="16" spans="2:10" x14ac:dyDescent="0.25">
      <c r="B16" s="57" t="s">
        <v>418</v>
      </c>
      <c r="C16" t="str">
        <f>_xlfn.XLOOKUP(B16,'Chart of Accounts'!B:B,'Chart of Accounts'!C:C)</f>
        <v xml:space="preserve">   -W I P</v>
      </c>
      <c r="D16" t="str">
        <f>_xlfn.XLOOKUP(B16,'Chart of Accounts'!B:B,'Chart of Accounts'!D:D)</f>
        <v>Inventory</v>
      </c>
      <c r="E16" t="s">
        <v>511</v>
      </c>
      <c r="F16" s="45">
        <f>SUMIFS('2022 BS'!D:D,'2022 BS'!A:A,$B16)</f>
        <v>375815.92</v>
      </c>
      <c r="G16" s="45">
        <f>SUMIFS('2022 BS'!C:C,'2022 BS'!A:A,B16)</f>
        <v>379024.97</v>
      </c>
      <c r="H16" s="45">
        <f>SUMIFS('2023 BS'!C:C,'2023 BS'!A:A,B16)</f>
        <v>323109.05</v>
      </c>
      <c r="I16" s="45">
        <f>SUMIFS('2024 BS'!C:C,'2024 BS'!A:A,B16)</f>
        <v>562533.14</v>
      </c>
      <c r="J16" s="45">
        <f>SUMIFS('Sep 2025 BS'!C:C,'Sep 2025 BS'!A:A,B16)</f>
        <v>741600.29</v>
      </c>
    </row>
    <row r="17" spans="2:10" x14ac:dyDescent="0.25">
      <c r="B17" s="57" t="s">
        <v>416</v>
      </c>
      <c r="C17" t="str">
        <f>_xlfn.XLOOKUP(B17,'Chart of Accounts'!B:B,'Chart of Accounts'!C:C)</f>
        <v xml:space="preserve">   -Finished Goods</v>
      </c>
      <c r="D17" t="str">
        <f>_xlfn.XLOOKUP(B17,'Chart of Accounts'!B:B,'Chart of Accounts'!D:D)</f>
        <v>Inventory</v>
      </c>
      <c r="E17" t="s">
        <v>511</v>
      </c>
      <c r="F17" s="45">
        <f>SUMIFS('2022 BS'!D:D,'2022 BS'!A:A,$B17)</f>
        <v>289304.2</v>
      </c>
      <c r="G17" s="45">
        <f>SUMIFS('2022 BS'!C:C,'2022 BS'!A:A,B17)</f>
        <v>94558.35</v>
      </c>
      <c r="H17" s="45">
        <f>SUMIFS('2023 BS'!C:C,'2023 BS'!A:A,B17)</f>
        <v>147549.85</v>
      </c>
      <c r="I17" s="45">
        <f>SUMIFS('2024 BS'!C:C,'2024 BS'!A:A,B17)</f>
        <v>64035.8</v>
      </c>
      <c r="J17" s="45">
        <f>SUMIFS('Sep 2025 BS'!C:C,'Sep 2025 BS'!A:A,B17)</f>
        <v>96448.06</v>
      </c>
    </row>
    <row r="18" spans="2:10" x14ac:dyDescent="0.25">
      <c r="B18" s="57" t="s">
        <v>414</v>
      </c>
      <c r="C18" t="str">
        <f>_xlfn.XLOOKUP(B18,'Chart of Accounts'!B:B,'Chart of Accounts'!C:C)</f>
        <v xml:space="preserve">   -Inventory - Inspection</v>
      </c>
      <c r="D18" t="str">
        <f>_xlfn.XLOOKUP(B18,'Chart of Accounts'!B:B,'Chart of Accounts'!D:D)</f>
        <v>Inventory</v>
      </c>
      <c r="E18" t="s">
        <v>511</v>
      </c>
      <c r="F18" s="45">
        <f>SUMIFS('2022 BS'!D:D,'2022 BS'!A:A,$B18)</f>
        <v>201</v>
      </c>
      <c r="G18" s="45">
        <f>SUMIFS('2022 BS'!C:C,'2022 BS'!A:A,B18)</f>
        <v>10288.17</v>
      </c>
      <c r="H18" s="45">
        <f>SUMIFS('2023 BS'!C:C,'2023 BS'!A:A,B18)</f>
        <v>0</v>
      </c>
      <c r="I18" s="45">
        <f>SUMIFS('2024 BS'!C:C,'2024 BS'!A:A,B18)</f>
        <v>1263.73</v>
      </c>
      <c r="J18" s="45">
        <f>SUMIFS('Sep 2025 BS'!C:C,'Sep 2025 BS'!A:A,B18)</f>
        <v>0</v>
      </c>
    </row>
    <row r="19" spans="2:10" x14ac:dyDescent="0.25">
      <c r="B19" s="57" t="s">
        <v>412</v>
      </c>
      <c r="C19" t="str">
        <f>_xlfn.XLOOKUP(B19,'Chart of Accounts'!B:B,'Chart of Accounts'!C:C)</f>
        <v xml:space="preserve">   -Inventory - DMR Pending</v>
      </c>
      <c r="D19" t="str">
        <f>_xlfn.XLOOKUP(B19,'Chart of Accounts'!B:B,'Chart of Accounts'!D:D)</f>
        <v>Inventory</v>
      </c>
      <c r="E19" t="s">
        <v>511</v>
      </c>
      <c r="F19" s="45">
        <f>SUMIFS('2022 BS'!D:D,'2022 BS'!A:A,$B19)</f>
        <v>621.11</v>
      </c>
      <c r="G19" s="45">
        <f>SUMIFS('2022 BS'!C:C,'2022 BS'!A:A,B19)</f>
        <v>7157.59</v>
      </c>
      <c r="H19" s="45">
        <f>SUMIFS('2023 BS'!C:C,'2023 BS'!A:A,B19)</f>
        <v>6785.56</v>
      </c>
      <c r="I19" s="45">
        <f>SUMIFS('2024 BS'!C:C,'2024 BS'!A:A,B19)</f>
        <v>7186.2</v>
      </c>
      <c r="J19" s="45">
        <f>SUMIFS('Sep 2025 BS'!C:C,'Sep 2025 BS'!A:A,B19)</f>
        <v>3902.04</v>
      </c>
    </row>
    <row r="20" spans="2:10" x14ac:dyDescent="0.25">
      <c r="B20" s="57" t="s">
        <v>397</v>
      </c>
      <c r="C20" t="str">
        <f>_xlfn.XLOOKUP(B20,'Chart of Accounts'!B:B,'Chart of Accounts'!C:C)</f>
        <v xml:space="preserve">   -Land</v>
      </c>
      <c r="D20" t="str">
        <f>_xlfn.XLOOKUP(B20,'Chart of Accounts'!B:B,'Chart of Accounts'!D:D)</f>
        <v>Land</v>
      </c>
      <c r="E20" t="s">
        <v>511</v>
      </c>
      <c r="F20" s="45">
        <f>SUMIFS('2022 BS'!D:D,'2022 BS'!A:A,$B20)</f>
        <v>122000</v>
      </c>
      <c r="G20" s="45">
        <f>SUMIFS('2022 BS'!C:C,'2022 BS'!A:A,B20)</f>
        <v>122000</v>
      </c>
      <c r="H20" s="45">
        <f>SUMIFS('2023 BS'!C:C,'2023 BS'!A:A,B20)</f>
        <v>122000</v>
      </c>
      <c r="I20" s="45">
        <f>SUMIFS('2024 BS'!C:C,'2024 BS'!A:A,B20)</f>
        <v>122000</v>
      </c>
      <c r="J20" s="45">
        <f>SUMIFS('Sep 2025 BS'!C:C,'Sep 2025 BS'!A:A,B20)</f>
        <v>122000</v>
      </c>
    </row>
    <row r="21" spans="2:10" x14ac:dyDescent="0.25">
      <c r="B21" s="57" t="s">
        <v>395</v>
      </c>
      <c r="C21" t="str">
        <f>_xlfn.XLOOKUP(B21,'Chart of Accounts'!B:B,'Chart of Accounts'!C:C)</f>
        <v xml:space="preserve">   -Building</v>
      </c>
      <c r="D21" t="str">
        <f>_xlfn.XLOOKUP(B21,'Chart of Accounts'!B:B,'Chart of Accounts'!D:D)</f>
        <v>Building</v>
      </c>
      <c r="E21" t="s">
        <v>511</v>
      </c>
      <c r="F21" s="45">
        <f>SUMIFS('2022 BS'!D:D,'2022 BS'!A:A,$B21)</f>
        <v>1039840.73</v>
      </c>
      <c r="G21" s="45">
        <f>SUMIFS('2022 BS'!C:C,'2022 BS'!A:A,B21)</f>
        <v>1039840.73</v>
      </c>
      <c r="H21" s="45">
        <f>SUMIFS('2023 BS'!C:C,'2023 BS'!A:A,B21)</f>
        <v>1039840.73</v>
      </c>
      <c r="I21" s="45">
        <f>SUMIFS('2024 BS'!C:C,'2024 BS'!A:A,B21)</f>
        <v>1039840.73</v>
      </c>
      <c r="J21" s="45">
        <f>SUMIFS('Sep 2025 BS'!C:C,'Sep 2025 BS'!A:A,B21)</f>
        <v>1039840.73</v>
      </c>
    </row>
    <row r="22" spans="2:10" x14ac:dyDescent="0.25">
      <c r="B22" s="57" t="s">
        <v>393</v>
      </c>
      <c r="C22" t="str">
        <f>_xlfn.XLOOKUP(B22,'Chart of Accounts'!B:B,'Chart of Accounts'!C:C)</f>
        <v xml:space="preserve">   -Leasehold Improvements</v>
      </c>
      <c r="D22" t="str">
        <f>_xlfn.XLOOKUP(B22,'Chart of Accounts'!B:B,'Chart of Accounts'!D:D)</f>
        <v>Leasehold Improvements</v>
      </c>
      <c r="E22" t="s">
        <v>511</v>
      </c>
      <c r="F22" s="45">
        <f>SUMIFS('2022 BS'!D:D,'2022 BS'!A:A,$B22)</f>
        <v>230619.89</v>
      </c>
      <c r="G22" s="45">
        <f>SUMIFS('2022 BS'!C:C,'2022 BS'!A:A,B22)</f>
        <v>230619.89</v>
      </c>
      <c r="H22" s="45">
        <f>SUMIFS('2023 BS'!C:C,'2023 BS'!A:A,B22)</f>
        <v>230619.89</v>
      </c>
      <c r="I22" s="45">
        <f>SUMIFS('2024 BS'!C:C,'2024 BS'!A:A,B22)</f>
        <v>270383.64</v>
      </c>
      <c r="J22" s="45">
        <f>SUMIFS('Sep 2025 BS'!C:C,'Sep 2025 BS'!A:A,B22)</f>
        <v>270383.64</v>
      </c>
    </row>
    <row r="23" spans="2:10" x14ac:dyDescent="0.25">
      <c r="B23" s="57" t="s">
        <v>391</v>
      </c>
      <c r="C23" t="str">
        <f>_xlfn.XLOOKUP(B23,'Chart of Accounts'!B:B,'Chart of Accounts'!C:C)</f>
        <v xml:space="preserve">   -Machinery &amp; Equipment</v>
      </c>
      <c r="D23" t="str">
        <f>_xlfn.XLOOKUP(B23,'Chart of Accounts'!B:B,'Chart of Accounts'!D:D)</f>
        <v>Machinery &amp; Equipment</v>
      </c>
      <c r="E23" t="s">
        <v>511</v>
      </c>
      <c r="F23" s="45">
        <f>SUMIFS('2022 BS'!D:D,'2022 BS'!A:A,$B23)</f>
        <v>1849633.76</v>
      </c>
      <c r="G23" s="45">
        <f>SUMIFS('2022 BS'!C:C,'2022 BS'!A:A,B23)</f>
        <v>2015708.58</v>
      </c>
      <c r="H23" s="45">
        <f>SUMIFS('2023 BS'!C:C,'2023 BS'!A:A,B23)</f>
        <v>2156400.06</v>
      </c>
      <c r="I23" s="45">
        <f>SUMIFS('2024 BS'!C:C,'2024 BS'!A:A,B23)</f>
        <v>2162584.66</v>
      </c>
      <c r="J23" s="45">
        <f>SUMIFS('Sep 2025 BS'!C:C,'Sep 2025 BS'!A:A,B23)</f>
        <v>2162584.66</v>
      </c>
    </row>
    <row r="24" spans="2:10" x14ac:dyDescent="0.25">
      <c r="B24" s="57" t="s">
        <v>456</v>
      </c>
      <c r="C24" t="str">
        <f>_xlfn.XLOOKUP(B24,'Chart of Accounts'!B:B,'Chart of Accounts'!C:C)</f>
        <v xml:space="preserve">   -Computer Equipment</v>
      </c>
      <c r="D24" t="str">
        <f>_xlfn.XLOOKUP(B24,'Chart of Accounts'!B:B,'Chart of Accounts'!D:D)</f>
        <v>Computer Equipment</v>
      </c>
      <c r="E24" t="s">
        <v>511</v>
      </c>
      <c r="F24" s="45">
        <f>SUMIFS('2022 BS'!D:D,'2022 BS'!A:A,$B24)</f>
        <v>0</v>
      </c>
      <c r="G24" s="45">
        <f>SUMIFS('2022 BS'!C:C,'2022 BS'!A:A,B24)</f>
        <v>0</v>
      </c>
      <c r="H24" s="45">
        <f>SUMIFS('2023 BS'!C:C,'2023 BS'!A:A,B24)</f>
        <v>0</v>
      </c>
      <c r="I24" s="45">
        <f>SUMIFS('2024 BS'!C:C,'2024 BS'!A:A,B24)</f>
        <v>61187.02</v>
      </c>
      <c r="J24" s="45">
        <f>SUMIFS('Sep 2025 BS'!C:C,'Sep 2025 BS'!A:A,B24)</f>
        <v>61187.02</v>
      </c>
    </row>
    <row r="25" spans="2:10" x14ac:dyDescent="0.25">
      <c r="B25" s="57" t="s">
        <v>389</v>
      </c>
      <c r="C25" t="str">
        <f>_xlfn.XLOOKUP(B25,'Chart of Accounts'!B:B,'Chart of Accounts'!C:C)</f>
        <v xml:space="preserve">   -Computer Software</v>
      </c>
      <c r="D25" t="str">
        <f>_xlfn.XLOOKUP(B25,'Chart of Accounts'!B:B,'Chart of Accounts'!D:D)</f>
        <v>Computer Software</v>
      </c>
      <c r="E25" t="s">
        <v>511</v>
      </c>
      <c r="F25" s="45">
        <f>SUMIFS('2022 BS'!D:D,'2022 BS'!A:A,$B25)</f>
        <v>96925.38</v>
      </c>
      <c r="G25" s="45">
        <f>SUMIFS('2022 BS'!C:C,'2022 BS'!A:A,B25)</f>
        <v>96925.38</v>
      </c>
      <c r="H25" s="45">
        <f>SUMIFS('2023 BS'!C:C,'2023 BS'!A:A,B25)</f>
        <v>96925.38</v>
      </c>
      <c r="I25" s="45">
        <f>SUMIFS('2024 BS'!C:C,'2024 BS'!A:A,B25)</f>
        <v>96925.38</v>
      </c>
      <c r="J25" s="45">
        <f>SUMIFS('Sep 2025 BS'!C:C,'Sep 2025 BS'!A:A,B25)</f>
        <v>96925.38</v>
      </c>
    </row>
    <row r="26" spans="2:10" x14ac:dyDescent="0.25">
      <c r="B26" s="57" t="s">
        <v>387</v>
      </c>
      <c r="C26" t="str">
        <f>_xlfn.XLOOKUP(B26,'Chart of Accounts'!B:B,'Chart of Accounts'!C:C)</f>
        <v xml:space="preserve">   -Automobiles</v>
      </c>
      <c r="D26" t="str">
        <f>_xlfn.XLOOKUP(B26,'Chart of Accounts'!B:B,'Chart of Accounts'!D:D)</f>
        <v>Automobiles</v>
      </c>
      <c r="E26" t="s">
        <v>511</v>
      </c>
      <c r="F26" s="45">
        <f>SUMIFS('2022 BS'!D:D,'2022 BS'!A:A,$B26)</f>
        <v>110411.14</v>
      </c>
      <c r="G26" s="45">
        <f>SUMIFS('2022 BS'!C:C,'2022 BS'!A:A,B26)</f>
        <v>110411.14</v>
      </c>
      <c r="H26" s="45">
        <f>SUMIFS('2023 BS'!C:C,'2023 BS'!A:A,B26)</f>
        <v>110411.14</v>
      </c>
      <c r="I26" s="45">
        <f>SUMIFS('2024 BS'!C:C,'2024 BS'!A:A,B26)</f>
        <v>0</v>
      </c>
      <c r="J26" s="45">
        <f>SUMIFS('Sep 2025 BS'!C:C,'Sep 2025 BS'!A:A,B26)</f>
        <v>0</v>
      </c>
    </row>
    <row r="27" spans="2:10" x14ac:dyDescent="0.25">
      <c r="B27" s="57" t="s">
        <v>385</v>
      </c>
      <c r="C27" t="str">
        <f>_xlfn.XLOOKUP(B27,'Chart of Accounts'!B:B,'Chart of Accounts'!C:C)</f>
        <v xml:space="preserve">   -Accumulated Depreciation</v>
      </c>
      <c r="D27" t="str">
        <f>_xlfn.XLOOKUP(B27,'Chart of Accounts'!B:B,'Chart of Accounts'!D:D)</f>
        <v>Accumulated Depreciation</v>
      </c>
      <c r="E27" t="s">
        <v>511</v>
      </c>
      <c r="F27" s="45">
        <f>SUMIFS('2022 BS'!D:D,'2022 BS'!A:A,$B27)</f>
        <v>-3143237.14</v>
      </c>
      <c r="G27" s="45">
        <f>SUMIFS('2022 BS'!C:C,'2022 BS'!A:A,B27)</f>
        <v>-3221865.46</v>
      </c>
      <c r="H27" s="45">
        <f>SUMIFS('2023 BS'!C:C,'2023 BS'!A:A,B27)</f>
        <v>-3262811</v>
      </c>
      <c r="I27" s="45">
        <f>SUMIFS('2024 BS'!C:C,'2024 BS'!A:A,B27)</f>
        <v>-3322429</v>
      </c>
      <c r="J27" s="45">
        <f>SUMIFS('Sep 2025 BS'!C:C,'Sep 2025 BS'!A:A,B27)</f>
        <v>-3344929</v>
      </c>
    </row>
    <row r="28" spans="2:10" x14ac:dyDescent="0.25">
      <c r="B28" s="57" t="s">
        <v>383</v>
      </c>
      <c r="C28" t="str">
        <f>_xlfn.XLOOKUP(B28,'Chart of Accounts'!B:B,'Chart of Accounts'!C:C)</f>
        <v xml:space="preserve">   -Accumulated Amortization</v>
      </c>
      <c r="D28" t="str">
        <f>_xlfn.XLOOKUP(B28,'Chart of Accounts'!B:B,'Chart of Accounts'!D:D)</f>
        <v>Accumulated Amortization</v>
      </c>
      <c r="E28" t="s">
        <v>511</v>
      </c>
      <c r="F28" s="45">
        <f>SUMIFS('2022 BS'!D:D,'2022 BS'!A:A,$B28)</f>
        <v>-96925.38</v>
      </c>
      <c r="G28" s="45">
        <f>SUMIFS('2022 BS'!C:C,'2022 BS'!A:A,B28)</f>
        <v>-96925.38</v>
      </c>
      <c r="H28" s="45">
        <f>SUMIFS('2023 BS'!C:C,'2023 BS'!A:A,B28)</f>
        <v>-96925.38</v>
      </c>
      <c r="I28" s="45">
        <f>SUMIFS('2024 BS'!C:C,'2024 BS'!A:A,B28)</f>
        <v>-96925.38</v>
      </c>
      <c r="J28" s="45">
        <f>SUMIFS('Sep 2025 BS'!C:C,'Sep 2025 BS'!A:A,B28)</f>
        <v>-96925.38</v>
      </c>
    </row>
    <row r="29" spans="2:10" x14ac:dyDescent="0.25">
      <c r="B29" s="57" t="s">
        <v>408</v>
      </c>
      <c r="C29" t="str">
        <f>_xlfn.XLOOKUP(B29,'Chart of Accounts'!B:B,'Chart of Accounts'!C:C)</f>
        <v xml:space="preserve">   -Prepaid Insurance</v>
      </c>
      <c r="D29" t="str">
        <f>_xlfn.XLOOKUP(B29,'Chart of Accounts'!B:B,'Chart of Accounts'!D:D)</f>
        <v>Prepaid Expenses</v>
      </c>
      <c r="E29" t="s">
        <v>511</v>
      </c>
      <c r="F29" s="45">
        <f>SUMIFS('2022 BS'!D:D,'2022 BS'!A:A,$B29)</f>
        <v>36463.25</v>
      </c>
      <c r="G29" s="45">
        <f>SUMIFS('2022 BS'!C:C,'2022 BS'!A:A,B29)</f>
        <v>32668.09</v>
      </c>
      <c r="H29" s="45">
        <f>SUMIFS('2023 BS'!C:C,'2023 BS'!A:A,B29)</f>
        <v>24610.26</v>
      </c>
      <c r="I29" s="45">
        <f>SUMIFS('2024 BS'!C:C,'2024 BS'!A:A,B29)</f>
        <v>31961.5</v>
      </c>
      <c r="J29" s="45">
        <f>SUMIFS('Sep 2025 BS'!C:C,'Sep 2025 BS'!A:A,B29)</f>
        <v>25825.99</v>
      </c>
    </row>
    <row r="30" spans="2:10" x14ac:dyDescent="0.25">
      <c r="B30" s="57" t="s">
        <v>458</v>
      </c>
      <c r="C30" t="str">
        <f>_xlfn.XLOOKUP(B30,'Chart of Accounts'!B:B,'Chart of Accounts'!C:C)</f>
        <v xml:space="preserve">   -Prepaid Workers Comp</v>
      </c>
      <c r="D30" t="str">
        <f>_xlfn.XLOOKUP(B30,'Chart of Accounts'!B:B,'Chart of Accounts'!D:D)</f>
        <v>Prepaid Expenses</v>
      </c>
      <c r="E30" t="s">
        <v>511</v>
      </c>
      <c r="F30" s="45">
        <f>SUMIFS('2022 BS'!D:D,'2022 BS'!A:A,$B30)</f>
        <v>0</v>
      </c>
      <c r="G30" s="45">
        <f>SUMIFS('2022 BS'!C:C,'2022 BS'!A:A,B30)</f>
        <v>0</v>
      </c>
      <c r="H30" s="45">
        <f>SUMIFS('2023 BS'!C:C,'2023 BS'!A:A,B30)</f>
        <v>0</v>
      </c>
      <c r="I30" s="45">
        <f>SUMIFS('2024 BS'!C:C,'2024 BS'!A:A,B30)</f>
        <v>2474.1999999999998</v>
      </c>
      <c r="J30" s="45">
        <f>SUMIFS('Sep 2025 BS'!C:C,'Sep 2025 BS'!A:A,B30)</f>
        <v>-731.02</v>
      </c>
    </row>
    <row r="31" spans="2:10" x14ac:dyDescent="0.25">
      <c r="B31" s="57" t="s">
        <v>406</v>
      </c>
      <c r="C31" t="str">
        <f>_xlfn.XLOOKUP(B31,'Chart of Accounts'!B:B,'Chart of Accounts'!C:C)</f>
        <v xml:space="preserve">   -Prepaid RE Taxes</v>
      </c>
      <c r="D31" t="str">
        <f>_xlfn.XLOOKUP(B31,'Chart of Accounts'!B:B,'Chart of Accounts'!D:D)</f>
        <v>Prepaid Expenses</v>
      </c>
      <c r="E31" t="s">
        <v>511</v>
      </c>
      <c r="F31" s="45">
        <f>SUMIFS('2022 BS'!D:D,'2022 BS'!A:A,$B31)</f>
        <v>13995.05</v>
      </c>
      <c r="G31" s="45">
        <f>SUMIFS('2022 BS'!C:C,'2022 BS'!A:A,B31)</f>
        <v>15831.96</v>
      </c>
      <c r="H31" s="45">
        <f>SUMIFS('2023 BS'!C:C,'2023 BS'!A:A,B31)</f>
        <v>16324.17</v>
      </c>
      <c r="I31" s="45">
        <f>SUMIFS('2024 BS'!C:C,'2024 BS'!A:A,B31)</f>
        <v>19159.86</v>
      </c>
      <c r="J31" s="45">
        <f>SUMIFS('Sep 2025 BS'!C:C,'Sep 2025 BS'!A:A,B31)</f>
        <v>9578.2099999999991</v>
      </c>
    </row>
    <row r="32" spans="2:10" x14ac:dyDescent="0.25">
      <c r="B32" s="57" t="s">
        <v>452</v>
      </c>
      <c r="C32" t="str">
        <f>_xlfn.XLOOKUP(B32,'Chart of Accounts'!B:B,'Chart of Accounts'!C:C)</f>
        <v xml:space="preserve">   -Prepaid Other</v>
      </c>
      <c r="D32" t="str">
        <f>_xlfn.XLOOKUP(B32,'Chart of Accounts'!B:B,'Chart of Accounts'!D:D)</f>
        <v>Prepaid Expenses</v>
      </c>
      <c r="E32" t="s">
        <v>511</v>
      </c>
      <c r="F32" s="45">
        <f>SUMIFS('2022 BS'!D:D,'2022 BS'!A:A,$B32)</f>
        <v>0</v>
      </c>
      <c r="G32" s="45">
        <f>SUMIFS('2022 BS'!C:C,'2022 BS'!A:A,B32)</f>
        <v>0</v>
      </c>
      <c r="H32" s="45">
        <f>SUMIFS('2023 BS'!C:C,'2023 BS'!A:A,B32)</f>
        <v>40193.440000000002</v>
      </c>
      <c r="I32" s="45">
        <f>SUMIFS('2024 BS'!C:C,'2024 BS'!A:A,B32)</f>
        <v>4173.09</v>
      </c>
      <c r="J32" s="45">
        <f>SUMIFS('Sep 2025 BS'!C:C,'Sep 2025 BS'!A:A,B32)</f>
        <v>0</v>
      </c>
    </row>
    <row r="33" spans="2:10" x14ac:dyDescent="0.25">
      <c r="B33" s="57" t="s">
        <v>404</v>
      </c>
      <c r="C33" t="str">
        <f>_xlfn.XLOOKUP(B33,'Chart of Accounts'!B:B,'Chart of Accounts'!C:C)</f>
        <v xml:space="preserve">   -Advances</v>
      </c>
      <c r="D33" t="str">
        <f>_xlfn.XLOOKUP(B33,'Chart of Accounts'!B:B,'Chart of Accounts'!D:D)</f>
        <v>Prepaid Expenses</v>
      </c>
      <c r="E33" t="s">
        <v>511</v>
      </c>
      <c r="F33" s="45">
        <f>SUMIFS('2022 BS'!D:D,'2022 BS'!A:A,$B33)</f>
        <v>2360.08</v>
      </c>
      <c r="G33" s="45">
        <f>SUMIFS('2022 BS'!C:C,'2022 BS'!A:A,B33)</f>
        <v>-1936.48</v>
      </c>
      <c r="H33" s="45">
        <f>SUMIFS('2023 BS'!C:C,'2023 BS'!A:A,B33)</f>
        <v>-1651.05</v>
      </c>
      <c r="I33" s="45">
        <f>SUMIFS('2024 BS'!C:C,'2024 BS'!A:A,B33)</f>
        <v>-1341.64</v>
      </c>
      <c r="J33" s="45">
        <f>SUMIFS('Sep 2025 BS'!C:C,'Sep 2025 BS'!A:A,B33)</f>
        <v>0</v>
      </c>
    </row>
    <row r="34" spans="2:10" x14ac:dyDescent="0.25">
      <c r="B34" s="57" t="s">
        <v>402</v>
      </c>
      <c r="C34" t="str">
        <f>_xlfn.XLOOKUP(B34,'Chart of Accounts'!B:B,'Chart of Accounts'!C:C)</f>
        <v xml:space="preserve">   -PPD - Trade Show Expenses</v>
      </c>
      <c r="D34" t="str">
        <f>_xlfn.XLOOKUP(B34,'Chart of Accounts'!B:B,'Chart of Accounts'!D:D)</f>
        <v>Prepaid Expenses</v>
      </c>
      <c r="E34" t="s">
        <v>511</v>
      </c>
      <c r="F34" s="45">
        <f>SUMIFS('2022 BS'!D:D,'2022 BS'!A:A,$B34)</f>
        <v>30809.98</v>
      </c>
      <c r="G34" s="45">
        <f>SUMIFS('2022 BS'!C:C,'2022 BS'!A:A,B34)</f>
        <v>4550</v>
      </c>
      <c r="H34" s="45">
        <f>SUMIFS('2023 BS'!C:C,'2023 BS'!A:A,B34)</f>
        <v>14902.33</v>
      </c>
      <c r="I34" s="45">
        <f>SUMIFS('2024 BS'!C:C,'2024 BS'!A:A,B34)</f>
        <v>0</v>
      </c>
      <c r="J34" s="45">
        <f>SUMIFS('Sep 2025 BS'!C:C,'Sep 2025 BS'!A:A,B34)</f>
        <v>2031.6</v>
      </c>
    </row>
    <row r="35" spans="2:10" x14ac:dyDescent="0.25">
      <c r="B35" s="57" t="s">
        <v>377</v>
      </c>
      <c r="C35" t="str">
        <f>_xlfn.XLOOKUP(B35,'Chart of Accounts'!B:B,'Chart of Accounts'!C:C)</f>
        <v xml:space="preserve">   -Accounts Payable</v>
      </c>
      <c r="D35" t="str">
        <f>_xlfn.XLOOKUP(B35,'Chart of Accounts'!B:B,'Chart of Accounts'!D:D)</f>
        <v>Accounts Payable</v>
      </c>
      <c r="E35" t="s">
        <v>512</v>
      </c>
      <c r="F35" s="45">
        <f>SUMIFS('2022 BS'!D:D,'2022 BS'!A:A,$B35)</f>
        <v>38342.49</v>
      </c>
      <c r="G35" s="45">
        <f>SUMIFS('2022 BS'!C:C,'2022 BS'!A:A,B35)</f>
        <v>163543.70000000001</v>
      </c>
      <c r="H35" s="45">
        <f>SUMIFS('2023 BS'!C:C,'2023 BS'!A:A,B35)</f>
        <v>172939.26</v>
      </c>
      <c r="I35" s="45">
        <f>SUMIFS('2024 BS'!C:C,'2024 BS'!A:A,B35)</f>
        <v>106538.51</v>
      </c>
      <c r="J35" s="45">
        <f>SUMIFS('Sep 2025 BS'!C:C,'Sep 2025 BS'!A:A,B35)</f>
        <v>39600.14</v>
      </c>
    </row>
    <row r="36" spans="2:10" x14ac:dyDescent="0.25">
      <c r="B36" s="57" t="s">
        <v>375</v>
      </c>
      <c r="C36" t="str">
        <f>_xlfn.XLOOKUP(B36,'Chart of Accounts'!B:B,'Chart of Accounts'!C:C)</f>
        <v xml:space="preserve">   AMEX Payable</v>
      </c>
      <c r="D36" t="str">
        <f>_xlfn.XLOOKUP(B36,'Chart of Accounts'!B:B,'Chart of Accounts'!D:D)</f>
        <v>Accounts Payable</v>
      </c>
      <c r="E36" t="s">
        <v>512</v>
      </c>
      <c r="F36" s="45">
        <f>SUMIFS('2022 BS'!D:D,'2022 BS'!A:A,$B36)</f>
        <v>-1120.54</v>
      </c>
      <c r="G36" s="45">
        <f>SUMIFS('2022 BS'!C:C,'2022 BS'!A:A,B36)</f>
        <v>-10190.85</v>
      </c>
      <c r="H36" s="45">
        <f>SUMIFS('2023 BS'!C:C,'2023 BS'!A:A,B36)</f>
        <v>0</v>
      </c>
      <c r="I36" s="45">
        <f>SUMIFS('2024 BS'!C:C,'2024 BS'!A:A,B36)</f>
        <v>-0.6</v>
      </c>
      <c r="J36" s="45">
        <f>SUMIFS('Sep 2025 BS'!C:C,'Sep 2025 BS'!A:A,B36)</f>
        <v>17482.41</v>
      </c>
    </row>
    <row r="37" spans="2:10" x14ac:dyDescent="0.25">
      <c r="B37" s="57" t="s">
        <v>373</v>
      </c>
      <c r="C37" t="str">
        <f>_xlfn.XLOOKUP(B37,'Chart of Accounts'!B:B,'Chart of Accounts'!C:C)</f>
        <v xml:space="preserve">   -VISA Payable</v>
      </c>
      <c r="D37" t="str">
        <f>_xlfn.XLOOKUP(B37,'Chart of Accounts'!B:B,'Chart of Accounts'!D:D)</f>
        <v>Accounts Payable</v>
      </c>
      <c r="E37" t="s">
        <v>512</v>
      </c>
      <c r="F37" s="45">
        <f>SUMIFS('2022 BS'!D:D,'2022 BS'!A:A,$B37)</f>
        <v>-550</v>
      </c>
      <c r="G37" s="45">
        <f>SUMIFS('2022 BS'!C:C,'2022 BS'!A:A,B37)</f>
        <v>0</v>
      </c>
      <c r="H37" s="45">
        <f>SUMIFS('2023 BS'!C:C,'2023 BS'!A:A,B37)</f>
        <v>0</v>
      </c>
      <c r="I37" s="45">
        <f>SUMIFS('2024 BS'!C:C,'2024 BS'!A:A,B37)</f>
        <v>0</v>
      </c>
      <c r="J37" s="45">
        <f>SUMIFS('Sep 2025 BS'!C:C,'Sep 2025 BS'!A:A,B37)</f>
        <v>0</v>
      </c>
    </row>
    <row r="38" spans="2:10" x14ac:dyDescent="0.25">
      <c r="B38" s="57" t="s">
        <v>371</v>
      </c>
      <c r="C38" t="str">
        <f>_xlfn.XLOOKUP(B38,'Chart of Accounts'!B:B,'Chart of Accounts'!C:C)</f>
        <v xml:space="preserve">   -Accrued Purchase Receipts</v>
      </c>
      <c r="D38" t="str">
        <f>_xlfn.XLOOKUP(B38,'Chart of Accounts'!B:B,'Chart of Accounts'!D:D)</f>
        <v>Accounts Payable</v>
      </c>
      <c r="E38" t="s">
        <v>512</v>
      </c>
      <c r="F38" s="45">
        <f>SUMIFS('2022 BS'!D:D,'2022 BS'!A:A,$B38)</f>
        <v>-2249.0100000000002</v>
      </c>
      <c r="G38" s="45">
        <f>SUMIFS('2022 BS'!C:C,'2022 BS'!A:A,B38)</f>
        <v>45527.87</v>
      </c>
      <c r="H38" s="45">
        <f>SUMIFS('2023 BS'!C:C,'2023 BS'!A:A,B38)</f>
        <v>3244.16</v>
      </c>
      <c r="I38" s="45">
        <f>SUMIFS('2024 BS'!C:C,'2024 BS'!A:A,B38)</f>
        <v>9048.5</v>
      </c>
      <c r="J38" s="45">
        <f>SUMIFS('Sep 2025 BS'!C:C,'Sep 2025 BS'!A:A,B38)</f>
        <v>20935.07</v>
      </c>
    </row>
    <row r="39" spans="2:10" x14ac:dyDescent="0.25">
      <c r="B39" s="57" t="s">
        <v>454</v>
      </c>
      <c r="C39" t="str">
        <f>_xlfn.XLOOKUP(B39,'Chart of Accounts'!B:B,'Chart of Accounts'!C:C)</f>
        <v xml:space="preserve">   -401K Payable</v>
      </c>
      <c r="D39" t="str">
        <f>_xlfn.XLOOKUP(B39,'Chart of Accounts'!B:B,'Chart of Accounts'!D:D)</f>
        <v>Accured Expenses</v>
      </c>
      <c r="E39" t="s">
        <v>512</v>
      </c>
      <c r="F39" s="45">
        <f>SUMIFS('2022 BS'!D:D,'2022 BS'!A:A,$B39)</f>
        <v>0</v>
      </c>
      <c r="G39" s="45">
        <f>SUMIFS('2022 BS'!C:C,'2022 BS'!A:A,B39)</f>
        <v>0</v>
      </c>
      <c r="H39" s="45">
        <f>SUMIFS('2023 BS'!C:C,'2023 BS'!A:A,B39)</f>
        <v>0</v>
      </c>
      <c r="I39" s="45">
        <f>SUMIFS('2024 BS'!C:C,'2024 BS'!A:A,B39)</f>
        <v>0.01</v>
      </c>
      <c r="J39" s="45">
        <f>SUMIFS('Sep 2025 BS'!C:C,'Sep 2025 BS'!A:A,B39)</f>
        <v>0</v>
      </c>
    </row>
    <row r="40" spans="2:10" x14ac:dyDescent="0.25">
      <c r="B40" s="57" t="s">
        <v>450</v>
      </c>
      <c r="C40" t="str">
        <f>_xlfn.XLOOKUP(B40,'Chart of Accounts'!B:B,'Chart of Accounts'!C:C)</f>
        <v xml:space="preserve">   -Lease Payable -  Screen Printer</v>
      </c>
      <c r="D40" t="str">
        <f>_xlfn.XLOOKUP(B40,'Chart of Accounts'!B:B,'Chart of Accounts'!D:D)</f>
        <v>Leases Payable</v>
      </c>
      <c r="E40" t="s">
        <v>512</v>
      </c>
      <c r="F40" s="45">
        <f>SUMIFS('2022 BS'!D:D,'2022 BS'!A:A,$B40)</f>
        <v>0</v>
      </c>
      <c r="G40" s="45">
        <f>SUMIFS('2022 BS'!C:C,'2022 BS'!A:A,B40)</f>
        <v>0</v>
      </c>
      <c r="H40" s="45">
        <f>SUMIFS('2023 BS'!C:C,'2023 BS'!A:A,B40)</f>
        <v>80822.44</v>
      </c>
      <c r="I40" s="45">
        <f>SUMIFS('2024 BS'!C:C,'2024 BS'!A:A,B40)</f>
        <v>66272.92</v>
      </c>
      <c r="J40" s="45">
        <f>SUMIFS('Sep 2025 BS'!C:C,'Sep 2025 BS'!A:A,B40)</f>
        <v>56805.279999999999</v>
      </c>
    </row>
    <row r="41" spans="2:10" x14ac:dyDescent="0.25">
      <c r="B41" s="57" t="s">
        <v>365</v>
      </c>
      <c r="C41" t="str">
        <f>_xlfn.XLOOKUP(B41,'Chart of Accounts'!B:B,'Chart of Accounts'!C:C)</f>
        <v xml:space="preserve">   -Lease Payable - Pick and Place</v>
      </c>
      <c r="D41" t="str">
        <f>_xlfn.XLOOKUP(B41,'Chart of Accounts'!B:B,'Chart of Accounts'!D:D)</f>
        <v>Leases Payable</v>
      </c>
      <c r="E41" t="s">
        <v>512</v>
      </c>
      <c r="F41" s="45">
        <f>SUMIFS('2022 BS'!D:D,'2022 BS'!A:A,$B41)</f>
        <v>0</v>
      </c>
      <c r="G41" s="45">
        <f>SUMIFS('2022 BS'!C:C,'2022 BS'!A:A,B41)</f>
        <v>126697.82</v>
      </c>
      <c r="H41" s="45">
        <f>SUMIFS('2023 BS'!C:C,'2023 BS'!A:A,B41)</f>
        <v>85183.16</v>
      </c>
      <c r="I41" s="45">
        <f>SUMIFS('2024 BS'!C:C,'2024 BS'!A:A,B41)</f>
        <v>37510.28</v>
      </c>
      <c r="J41" s="45">
        <f>SUMIFS('Sep 2025 BS'!C:C,'Sep 2025 BS'!A:A,B41)</f>
        <v>0</v>
      </c>
    </row>
    <row r="42" spans="2:10" x14ac:dyDescent="0.25">
      <c r="B42" s="57" t="s">
        <v>363</v>
      </c>
      <c r="C42" t="str">
        <f>_xlfn.XLOOKUP(B42,'Chart of Accounts'!B:B,'Chart of Accounts'!C:C)</f>
        <v xml:space="preserve">   -Lease Payable - Phone System</v>
      </c>
      <c r="D42" t="str">
        <f>_xlfn.XLOOKUP(B42,'Chart of Accounts'!B:B,'Chart of Accounts'!D:D)</f>
        <v>Leases Payable</v>
      </c>
      <c r="E42" t="s">
        <v>512</v>
      </c>
      <c r="F42" s="45">
        <f>SUMIFS('2022 BS'!D:D,'2022 BS'!A:A,$B42)</f>
        <v>0</v>
      </c>
      <c r="G42" s="45">
        <f>SUMIFS('2022 BS'!C:C,'2022 BS'!A:A,B42)</f>
        <v>14833.24</v>
      </c>
      <c r="H42" s="45">
        <f>SUMIFS('2023 BS'!C:C,'2023 BS'!A:A,B42)</f>
        <v>12417.99</v>
      </c>
      <c r="I42" s="45">
        <f>SUMIFS('2024 BS'!C:C,'2024 BS'!A:A,B42)</f>
        <v>12724.56</v>
      </c>
      <c r="J42" s="45">
        <f>SUMIFS('Sep 2025 BS'!C:C,'Sep 2025 BS'!A:A,B42)</f>
        <v>9543.39</v>
      </c>
    </row>
    <row r="43" spans="2:10" x14ac:dyDescent="0.25">
      <c r="B43" s="57" t="s">
        <v>361</v>
      </c>
      <c r="C43" t="str">
        <f>_xlfn.XLOOKUP(B43,'Chart of Accounts'!B:B,'Chart of Accounts'!C:C)</f>
        <v xml:space="preserve">   -Accrued Payroll &amp; Taxes</v>
      </c>
      <c r="D43" t="str">
        <f>_xlfn.XLOOKUP(B43,'Chart of Accounts'!B:B,'Chart of Accounts'!D:D)</f>
        <v>Accured Expenses</v>
      </c>
      <c r="E43" t="s">
        <v>512</v>
      </c>
      <c r="F43" s="45">
        <f>SUMIFS('2022 BS'!D:D,'2022 BS'!A:A,$B43)</f>
        <v>70208.63</v>
      </c>
      <c r="G43" s="45">
        <f>SUMIFS('2022 BS'!C:C,'2022 BS'!A:A,B43)</f>
        <v>95227.53</v>
      </c>
      <c r="H43" s="45">
        <f>SUMIFS('2023 BS'!C:C,'2023 BS'!A:A,B43)</f>
        <v>75036.460000000006</v>
      </c>
      <c r="I43" s="45">
        <f>SUMIFS('2024 BS'!C:C,'2024 BS'!A:A,B43)</f>
        <v>114875.16</v>
      </c>
      <c r="J43" s="45">
        <f>SUMIFS('Sep 2025 BS'!C:C,'Sep 2025 BS'!A:A,B43)</f>
        <v>112033.32</v>
      </c>
    </row>
    <row r="44" spans="2:10" x14ac:dyDescent="0.25">
      <c r="B44" s="57" t="s">
        <v>359</v>
      </c>
      <c r="C44" t="str">
        <f>_xlfn.XLOOKUP(B44,'Chart of Accounts'!B:B,'Chart of Accounts'!C:C)</f>
        <v xml:space="preserve">   -Accrued Expenses</v>
      </c>
      <c r="D44" t="str">
        <f>_xlfn.XLOOKUP(B44,'Chart of Accounts'!B:B,'Chart of Accounts'!D:D)</f>
        <v>Accured Expenses</v>
      </c>
      <c r="E44" t="s">
        <v>512</v>
      </c>
      <c r="F44" s="45">
        <f>SUMIFS('2022 BS'!D:D,'2022 BS'!A:A,$B44)</f>
        <v>0</v>
      </c>
      <c r="G44" s="45">
        <f>SUMIFS('2022 BS'!C:C,'2022 BS'!A:A,B44)</f>
        <v>22197.97</v>
      </c>
      <c r="H44" s="45">
        <f>SUMIFS('2023 BS'!C:C,'2023 BS'!A:A,B44)</f>
        <v>38628.5</v>
      </c>
      <c r="I44" s="45">
        <f>SUMIFS('2024 BS'!C:C,'2024 BS'!A:A,B44)</f>
        <v>40809.629999999997</v>
      </c>
      <c r="J44" s="45">
        <f>SUMIFS('Sep 2025 BS'!C:C,'Sep 2025 BS'!A:A,B44)</f>
        <v>5156.9799999999996</v>
      </c>
    </row>
    <row r="45" spans="2:10" x14ac:dyDescent="0.25">
      <c r="B45" s="57" t="s">
        <v>357</v>
      </c>
      <c r="C45" t="str">
        <f>_xlfn.XLOOKUP(B45,'Chart of Accounts'!B:B,'Chart of Accounts'!C:C)</f>
        <v xml:space="preserve">   -Accrued Profit Sharing</v>
      </c>
      <c r="D45" t="str">
        <f>_xlfn.XLOOKUP(B45,'Chart of Accounts'!B:B,'Chart of Accounts'!D:D)</f>
        <v>Accured Expenses</v>
      </c>
      <c r="E45" t="s">
        <v>512</v>
      </c>
      <c r="F45" s="45">
        <f>SUMIFS('2022 BS'!D:D,'2022 BS'!A:A,$B45)</f>
        <v>150000</v>
      </c>
      <c r="G45" s="45">
        <f>SUMIFS('2022 BS'!C:C,'2022 BS'!A:A,B45)</f>
        <v>150000</v>
      </c>
      <c r="H45" s="45">
        <f>SUMIFS('2023 BS'!C:C,'2023 BS'!A:A,B45)</f>
        <v>175000</v>
      </c>
      <c r="I45" s="45">
        <f>SUMIFS('2024 BS'!C:C,'2024 BS'!A:A,B45)</f>
        <v>50000</v>
      </c>
      <c r="J45" s="45">
        <f>SUMIFS('Sep 2025 BS'!C:C,'Sep 2025 BS'!A:A,B45)</f>
        <v>6101.91</v>
      </c>
    </row>
    <row r="46" spans="2:10" x14ac:dyDescent="0.25">
      <c r="B46" s="57" t="s">
        <v>347</v>
      </c>
      <c r="C46" t="str">
        <f>_xlfn.XLOOKUP(B46,'Chart of Accounts'!B:B,'Chart of Accounts'!C:C)</f>
        <v xml:space="preserve">   -Retained Earnings - Distributions</v>
      </c>
      <c r="D46" t="str">
        <f>_xlfn.XLOOKUP(B46,'Chart of Accounts'!B:B,'Chart of Accounts'!D:D)</f>
        <v>Retained Earnings</v>
      </c>
      <c r="E46" t="s">
        <v>513</v>
      </c>
      <c r="F46" s="45">
        <f>SUMIFS('2022 BS'!D:D,'2022 BS'!A:A,$B46)</f>
        <v>-14380363.35</v>
      </c>
      <c r="G46" s="45">
        <f>SUMIFS('2022 BS'!C:C,'2022 BS'!A:A,B46)</f>
        <v>-16172465.92</v>
      </c>
      <c r="H46" s="45">
        <f>SUMIFS('2023 BS'!C:C,'2023 BS'!A:A,B46)</f>
        <v>-17589576.66</v>
      </c>
      <c r="I46" s="45">
        <f>SUMIFS('2024 BS'!C:C,'2024 BS'!A:A,B46)</f>
        <v>-18370064.600000001</v>
      </c>
      <c r="J46" s="45">
        <f>SUMIFS('Sep 2025 BS'!C:C,'Sep 2025 BS'!A:A,B46)</f>
        <v>-18370064.600000001</v>
      </c>
    </row>
    <row r="47" spans="2:10" x14ac:dyDescent="0.25">
      <c r="B47" s="35" t="s">
        <v>514</v>
      </c>
      <c r="C47" t="s">
        <v>351</v>
      </c>
      <c r="D47" t="str">
        <f>_xlfn.XLOOKUP(B47,'Chart of Accounts'!B:B,'Chart of Accounts'!D:D)</f>
        <v>Common Stock</v>
      </c>
      <c r="E47" t="s">
        <v>513</v>
      </c>
      <c r="F47" s="45">
        <f>SUMIFS('2022 BS'!D:D,'2022 BS'!A:A,$B47)</f>
        <v>165000</v>
      </c>
      <c r="G47" s="45">
        <f>SUMIFS('2022 BS'!C:C,'2022 BS'!A:A,B47)</f>
        <v>165000</v>
      </c>
      <c r="H47" s="45">
        <f>SUMIFS('2023 BS'!C:C,'2023 BS'!A:A,B47)</f>
        <v>165000</v>
      </c>
      <c r="I47" s="45">
        <f>SUMIFS('2024 BS'!C:C,'2024 BS'!A:A,B47)</f>
        <v>165000</v>
      </c>
      <c r="J47" s="45">
        <f>SUMIFS('Sep 2025 BS'!C:C,'Sep 2025 BS'!A:A,B47)</f>
        <v>165000</v>
      </c>
    </row>
    <row r="48" spans="2:10" x14ac:dyDescent="0.25">
      <c r="B48" s="35" t="s">
        <v>515</v>
      </c>
      <c r="C48" t="s">
        <v>350</v>
      </c>
      <c r="D48" t="str">
        <f>_xlfn.XLOOKUP(B48,'Chart of Accounts'!B:B,'Chart of Accounts'!D:D)</f>
        <v>Dividends</v>
      </c>
      <c r="E48" t="s">
        <v>513</v>
      </c>
      <c r="F48" s="45">
        <f>SUMIFS('2022 BS'!D:D,'2022 BS'!A:A,$B48)</f>
        <v>-871770</v>
      </c>
      <c r="G48" s="45">
        <f>SUMIFS('2022 BS'!C:C,'2022 BS'!A:A,B48)</f>
        <v>-1181600</v>
      </c>
      <c r="H48" s="45">
        <f>SUMIFS('2023 BS'!C:C,'2023 BS'!A:A,B48)</f>
        <v>-170000</v>
      </c>
      <c r="I48" s="45">
        <f>SUMIFS('2024 BS'!C:C,'2024 BS'!A:A,B48)</f>
        <v>0</v>
      </c>
      <c r="J48" s="45">
        <f>SUMIFS('Sep 2025 BS'!C:C,'Sep 2025 BS'!A:A,B48)</f>
        <v>37017.440000000002</v>
      </c>
    </row>
    <row r="49" spans="2:10" x14ac:dyDescent="0.25">
      <c r="B49" s="35" t="s">
        <v>516</v>
      </c>
      <c r="C49" t="s">
        <v>349</v>
      </c>
      <c r="D49" t="str">
        <f>_xlfn.XLOOKUP(B49,'Chart of Accounts'!B:B,'Chart of Accounts'!D:D)</f>
        <v>Dividends</v>
      </c>
      <c r="E49" t="s">
        <v>513</v>
      </c>
      <c r="F49" s="45">
        <f>SUMIFS('2022 BS'!D:D,'2022 BS'!A:A,$B49)</f>
        <v>-920332.57</v>
      </c>
      <c r="G49" s="45">
        <f>SUMIFS('2022 BS'!C:C,'2022 BS'!A:A,B49)</f>
        <v>-372450.74</v>
      </c>
      <c r="H49" s="45">
        <f>SUMIFS('2023 BS'!C:C,'2023 BS'!A:A,B49)</f>
        <v>-735247.85</v>
      </c>
      <c r="I49" s="45">
        <f>SUMIFS('2024 BS'!C:C,'2024 BS'!A:A,B49)</f>
        <v>0</v>
      </c>
      <c r="J49" s="45">
        <f>SUMIFS('Sep 2025 BS'!C:C,'Sep 2025 BS'!A:A,B49)</f>
        <v>0</v>
      </c>
    </row>
    <row r="50" spans="2:10" x14ac:dyDescent="0.25">
      <c r="B50" s="35" t="s">
        <v>517</v>
      </c>
      <c r="C50" t="s">
        <v>348</v>
      </c>
      <c r="D50" t="str">
        <f>_xlfn.XLOOKUP(B50,'Chart of Accounts'!B:B,'Chart of Accounts'!D:D)</f>
        <v>Retained Earnings</v>
      </c>
      <c r="E50" t="s">
        <v>513</v>
      </c>
      <c r="F50" s="45">
        <f>SUMIFS('2022 BS'!D:D,'2022 BS'!A:A,$B50)</f>
        <v>20857750.370000001</v>
      </c>
      <c r="G50" s="45">
        <f>SUMIFS('2022 BS'!C:C,'2022 BS'!A:A,B50)</f>
        <v>20977734.739999998</v>
      </c>
      <c r="H50" s="45">
        <f>SUMIFS('2023 BS'!C:C,'2023 BS'!A:A,B50)</f>
        <v>22533870.239999998</v>
      </c>
      <c r="I50" s="45">
        <f>SUMIFS('2024 BS'!C:C,'2024 BS'!A:A,B50)</f>
        <v>23534720.879999999</v>
      </c>
      <c r="J50" s="45">
        <f>SUMIFS('Sep 2025 BS'!C:C,'Sep 2025 BS'!A:A,B50)</f>
        <v>23755955.350000001</v>
      </c>
    </row>
    <row r="51" spans="2:10" x14ac:dyDescent="0.25">
      <c r="B51" s="35" t="s">
        <v>518</v>
      </c>
      <c r="C51" t="s">
        <v>345</v>
      </c>
      <c r="D51" t="str">
        <f>_xlfn.XLOOKUP(B51,'Chart of Accounts'!B:B,'Chart of Accounts'!D:D)</f>
        <v>Net Income</v>
      </c>
      <c r="E51" t="s">
        <v>513</v>
      </c>
      <c r="F51" s="45">
        <f>SUMIFS('2022 BS'!D:D,'2022 BS'!A:A,$B51)</f>
        <v>119984.37</v>
      </c>
      <c r="G51" s="45">
        <f>SUMIFS('2022 BS'!C:C,'2022 BS'!A:A,B51)</f>
        <v>1556135.5</v>
      </c>
      <c r="H51" s="45">
        <f>SUMIFS('2023 BS'!C:C,'2023 BS'!A:A,B51)</f>
        <v>1000850.64</v>
      </c>
      <c r="I51" s="45">
        <f>SUMIFS('2024 BS'!C:C,'2024 BS'!A:A,B51)</f>
        <v>221234.47</v>
      </c>
      <c r="J51" s="45">
        <f>SUMIFS('Sep 2025 BS'!C:C,'Sep 2025 BS'!A:A,B51)</f>
        <v>121987.15</v>
      </c>
    </row>
    <row r="52" spans="2:10" x14ac:dyDescent="0.25">
      <c r="B52" s="35"/>
      <c r="F52" s="45"/>
      <c r="G52" s="45"/>
      <c r="H52" s="45"/>
      <c r="I52" s="45"/>
      <c r="J52" s="44"/>
    </row>
    <row r="53" spans="2:10" x14ac:dyDescent="0.25">
      <c r="B53" s="35"/>
      <c r="F53" s="45"/>
      <c r="G53" s="45"/>
      <c r="H53" s="45"/>
      <c r="I53" s="45"/>
      <c r="J53" s="44"/>
    </row>
    <row r="54" spans="2:10" x14ac:dyDescent="0.25">
      <c r="B54" s="35"/>
      <c r="F54" s="45"/>
      <c r="G54" s="45"/>
      <c r="H54" s="45"/>
      <c r="I54" s="45"/>
      <c r="J54" s="44"/>
    </row>
    <row r="55" spans="2:10" x14ac:dyDescent="0.25">
      <c r="B55" s="35"/>
      <c r="F55" s="45"/>
      <c r="G55" s="45"/>
      <c r="H55" s="45"/>
      <c r="I55" s="45"/>
      <c r="J55" s="44"/>
    </row>
    <row r="56" spans="2:10" x14ac:dyDescent="0.25">
      <c r="B56" s="35"/>
      <c r="F56" s="45"/>
      <c r="G56" s="45"/>
      <c r="H56" s="45"/>
      <c r="I56" s="45"/>
      <c r="J56" s="44"/>
    </row>
    <row r="57" spans="2:10" x14ac:dyDescent="0.25">
      <c r="B57" s="35"/>
      <c r="F57" s="45"/>
      <c r="G57" s="45"/>
      <c r="H57" s="45"/>
      <c r="I57" s="45"/>
      <c r="J57" s="44"/>
    </row>
    <row r="58" spans="2:10" x14ac:dyDescent="0.25">
      <c r="B58" s="35"/>
      <c r="F58" s="45"/>
      <c r="G58" s="45"/>
      <c r="H58" s="45"/>
      <c r="I58" s="45"/>
      <c r="J58" s="44"/>
    </row>
    <row r="59" spans="2:10" x14ac:dyDescent="0.25">
      <c r="B59" s="35"/>
      <c r="F59" s="45"/>
      <c r="G59" s="45"/>
      <c r="H59" s="45"/>
      <c r="I59" s="45"/>
      <c r="J59" s="44"/>
    </row>
    <row r="60" spans="2:10" x14ac:dyDescent="0.25">
      <c r="B60" s="35"/>
      <c r="F60" s="45"/>
      <c r="G60" s="45"/>
      <c r="H60" s="45"/>
      <c r="I60" s="45"/>
      <c r="J60" s="44"/>
    </row>
    <row r="61" spans="2:10" x14ac:dyDescent="0.25">
      <c r="B61" s="35"/>
      <c r="F61" s="45"/>
      <c r="G61" s="45"/>
      <c r="H61" s="45"/>
      <c r="I61" s="45"/>
      <c r="J61" s="44"/>
    </row>
    <row r="62" spans="2:10" x14ac:dyDescent="0.25">
      <c r="B62" s="35"/>
      <c r="F62" s="45"/>
      <c r="G62" s="45"/>
      <c r="H62" s="45"/>
      <c r="I62" s="45"/>
      <c r="J62" s="44"/>
    </row>
    <row r="63" spans="2:10" x14ac:dyDescent="0.25">
      <c r="B63" s="35"/>
      <c r="F63" s="45"/>
      <c r="G63" s="45"/>
      <c r="H63" s="45"/>
      <c r="I63" s="45"/>
      <c r="J63" s="44"/>
    </row>
    <row r="64" spans="2:10" x14ac:dyDescent="0.25">
      <c r="B64" s="35"/>
      <c r="F64" s="45"/>
      <c r="G64" s="45"/>
      <c r="H64" s="45"/>
      <c r="I64" s="45"/>
      <c r="J64" s="44"/>
    </row>
    <row r="65" spans="2:10" x14ac:dyDescent="0.25">
      <c r="B65" s="35"/>
      <c r="F65" s="45"/>
      <c r="G65" s="45"/>
      <c r="H65" s="45"/>
      <c r="I65" s="45"/>
      <c r="J65" s="44"/>
    </row>
    <row r="66" spans="2:10" x14ac:dyDescent="0.25">
      <c r="B66" s="35"/>
      <c r="F66" s="45"/>
      <c r="G66" s="45"/>
      <c r="H66" s="45"/>
      <c r="I66" s="45"/>
      <c r="J66" s="44"/>
    </row>
    <row r="67" spans="2:10" x14ac:dyDescent="0.25">
      <c r="B67" s="35"/>
      <c r="F67" s="45"/>
      <c r="G67" s="45"/>
      <c r="H67" s="45"/>
      <c r="I67" s="45"/>
      <c r="J67" s="44"/>
    </row>
    <row r="68" spans="2:10" x14ac:dyDescent="0.25">
      <c r="B68" s="35"/>
      <c r="F68" s="45"/>
      <c r="G68" s="45"/>
      <c r="H68" s="45"/>
      <c r="I68" s="45"/>
      <c r="J68" s="44"/>
    </row>
    <row r="69" spans="2:10" x14ac:dyDescent="0.25">
      <c r="B69" s="35"/>
      <c r="F69" s="45"/>
      <c r="G69" s="45"/>
      <c r="H69" s="45"/>
      <c r="I69" s="45"/>
      <c r="J69" s="44"/>
    </row>
    <row r="70" spans="2:10" x14ac:dyDescent="0.25">
      <c r="B70" s="35"/>
      <c r="F70" s="45"/>
      <c r="G70" s="45"/>
      <c r="H70" s="45"/>
      <c r="I70" s="45"/>
      <c r="J70" s="44"/>
    </row>
    <row r="71" spans="2:10" x14ac:dyDescent="0.25">
      <c r="B71" s="35"/>
      <c r="F71" s="45"/>
      <c r="G71" s="45"/>
      <c r="H71" s="45"/>
      <c r="I71" s="45"/>
      <c r="J71" s="44"/>
    </row>
    <row r="72" spans="2:10" x14ac:dyDescent="0.25">
      <c r="B72" s="35"/>
      <c r="F72" s="45"/>
      <c r="G72" s="45"/>
      <c r="H72" s="45"/>
      <c r="I72" s="45"/>
      <c r="J72" s="44"/>
    </row>
    <row r="73" spans="2:10" x14ac:dyDescent="0.25">
      <c r="B73" s="35"/>
      <c r="F73" s="45"/>
      <c r="G73" s="45"/>
      <c r="H73" s="45"/>
      <c r="I73" s="45"/>
      <c r="J73" s="44"/>
    </row>
    <row r="74" spans="2:10" x14ac:dyDescent="0.25">
      <c r="B74" s="35"/>
      <c r="F74" s="45"/>
      <c r="G74" s="45"/>
      <c r="H74" s="45"/>
      <c r="I74" s="45"/>
      <c r="J74" s="44"/>
    </row>
    <row r="75" spans="2:10" x14ac:dyDescent="0.25">
      <c r="B75" s="35"/>
      <c r="F75" s="45"/>
      <c r="G75" s="45"/>
      <c r="H75" s="45"/>
      <c r="I75" s="45"/>
      <c r="J75" s="44"/>
    </row>
    <row r="76" spans="2:10" x14ac:dyDescent="0.25">
      <c r="B76" s="35"/>
      <c r="F76" s="45"/>
      <c r="G76" s="45"/>
      <c r="H76" s="45"/>
      <c r="I76" s="45"/>
      <c r="J76" s="44"/>
    </row>
    <row r="77" spans="2:10" x14ac:dyDescent="0.25">
      <c r="B77" s="35"/>
      <c r="F77" s="45"/>
      <c r="G77" s="45"/>
      <c r="H77" s="45"/>
      <c r="I77" s="45"/>
      <c r="J77" s="44"/>
    </row>
    <row r="78" spans="2:10" x14ac:dyDescent="0.25">
      <c r="B78" s="35"/>
      <c r="F78" s="45"/>
      <c r="G78" s="45"/>
      <c r="H78" s="45"/>
      <c r="I78" s="45"/>
      <c r="J78" s="44"/>
    </row>
    <row r="79" spans="2:10" x14ac:dyDescent="0.25">
      <c r="B79" s="35"/>
      <c r="F79" s="45"/>
      <c r="G79" s="45"/>
      <c r="H79" s="45"/>
      <c r="I79" s="45"/>
      <c r="J79" s="44"/>
    </row>
    <row r="80" spans="2:10" x14ac:dyDescent="0.25">
      <c r="B80" s="35"/>
      <c r="F80" s="45"/>
      <c r="G80" s="45"/>
      <c r="H80" s="45"/>
      <c r="I80" s="45"/>
      <c r="J80" s="44"/>
    </row>
    <row r="81" spans="2:10" x14ac:dyDescent="0.25">
      <c r="B81" s="35"/>
      <c r="F81" s="45"/>
      <c r="G81" s="45"/>
      <c r="H81" s="45"/>
      <c r="I81" s="45"/>
      <c r="J81" s="44"/>
    </row>
    <row r="82" spans="2:10" x14ac:dyDescent="0.25">
      <c r="B82" s="35"/>
      <c r="F82" s="45"/>
      <c r="G82" s="45"/>
      <c r="H82" s="45"/>
      <c r="I82" s="45"/>
      <c r="J82" s="44"/>
    </row>
    <row r="83" spans="2:10" x14ac:dyDescent="0.25">
      <c r="B83" s="35"/>
      <c r="F83" s="45"/>
      <c r="G83" s="45"/>
      <c r="H83" s="45"/>
      <c r="I83" s="45"/>
      <c r="J83" s="44"/>
    </row>
    <row r="84" spans="2:10" x14ac:dyDescent="0.25">
      <c r="B84" s="35"/>
      <c r="F84" s="45"/>
      <c r="G84" s="45"/>
      <c r="H84" s="45"/>
      <c r="I84" s="45"/>
      <c r="J84" s="44"/>
    </row>
    <row r="85" spans="2:10" x14ac:dyDescent="0.25">
      <c r="B85" s="35"/>
      <c r="F85" s="45"/>
      <c r="G85" s="45"/>
      <c r="H85" s="45"/>
      <c r="I85" s="45"/>
      <c r="J85" s="44"/>
    </row>
    <row r="86" spans="2:10" x14ac:dyDescent="0.25">
      <c r="B86" s="35"/>
      <c r="F86" s="45"/>
      <c r="G86" s="45"/>
      <c r="H86" s="45"/>
      <c r="I86" s="45"/>
      <c r="J86" s="44"/>
    </row>
    <row r="87" spans="2:10" x14ac:dyDescent="0.25">
      <c r="B87" s="35"/>
      <c r="F87" s="45"/>
      <c r="G87" s="45"/>
      <c r="H87" s="45"/>
      <c r="I87" s="45"/>
      <c r="J87" s="44"/>
    </row>
    <row r="88" spans="2:10" x14ac:dyDescent="0.25">
      <c r="B88" s="35"/>
      <c r="F88" s="45"/>
      <c r="G88" s="45"/>
      <c r="H88" s="45"/>
      <c r="I88" s="45"/>
      <c r="J88" s="44"/>
    </row>
    <row r="89" spans="2:10" x14ac:dyDescent="0.25">
      <c r="B89" s="35"/>
      <c r="F89" s="45"/>
      <c r="G89" s="45"/>
      <c r="H89" s="45"/>
      <c r="I89" s="45"/>
      <c r="J89" s="44"/>
    </row>
    <row r="90" spans="2:10" x14ac:dyDescent="0.25">
      <c r="B90" s="35"/>
      <c r="F90" s="45"/>
      <c r="G90" s="45"/>
      <c r="H90" s="45"/>
      <c r="I90" s="45"/>
      <c r="J90" s="44"/>
    </row>
    <row r="91" spans="2:10" x14ac:dyDescent="0.25">
      <c r="B91" s="35"/>
      <c r="F91" s="45"/>
      <c r="G91" s="45"/>
      <c r="H91" s="45"/>
      <c r="I91" s="45"/>
      <c r="J91" s="44"/>
    </row>
    <row r="92" spans="2:10" x14ac:dyDescent="0.25">
      <c r="B92" s="35"/>
      <c r="F92" s="45"/>
      <c r="G92" s="45"/>
      <c r="H92" s="45"/>
      <c r="I92" s="45"/>
      <c r="J92" s="44"/>
    </row>
    <row r="93" spans="2:10" x14ac:dyDescent="0.25">
      <c r="B93" s="35"/>
      <c r="F93" s="45"/>
      <c r="G93" s="45"/>
      <c r="H93" s="45"/>
      <c r="I93" s="45"/>
      <c r="J93" s="44"/>
    </row>
    <row r="94" spans="2:10" x14ac:dyDescent="0.25">
      <c r="B94" s="35"/>
      <c r="F94" s="45"/>
      <c r="G94" s="45"/>
      <c r="H94" s="45"/>
      <c r="I94" s="45"/>
      <c r="J94" s="44"/>
    </row>
    <row r="95" spans="2:10" x14ac:dyDescent="0.25">
      <c r="B95" s="35"/>
      <c r="F95" s="45"/>
      <c r="G95" s="45"/>
      <c r="H95" s="45"/>
      <c r="I95" s="45"/>
      <c r="J95" s="44"/>
    </row>
    <row r="96" spans="2:10" x14ac:dyDescent="0.25">
      <c r="B96" s="35"/>
      <c r="F96" s="45"/>
      <c r="G96" s="45"/>
      <c r="H96" s="45"/>
      <c r="I96" s="45"/>
      <c r="J96" s="44"/>
    </row>
    <row r="97" spans="2:10" x14ac:dyDescent="0.25">
      <c r="B97" s="35"/>
      <c r="F97" s="45"/>
      <c r="G97" s="45"/>
      <c r="H97" s="45"/>
      <c r="I97" s="45"/>
      <c r="J97" s="44"/>
    </row>
    <row r="98" spans="2:10" x14ac:dyDescent="0.25">
      <c r="B98" s="35"/>
      <c r="F98" s="45"/>
      <c r="G98" s="45"/>
      <c r="H98" s="45"/>
      <c r="I98" s="45"/>
      <c r="J98" s="44"/>
    </row>
    <row r="99" spans="2:10" x14ac:dyDescent="0.25">
      <c r="B99" s="35"/>
      <c r="F99" s="45"/>
      <c r="G99" s="45"/>
      <c r="H99" s="45"/>
      <c r="I99" s="45"/>
      <c r="J99" s="44"/>
    </row>
    <row r="100" spans="2:10" x14ac:dyDescent="0.25">
      <c r="B100" s="35"/>
      <c r="F100" s="45"/>
      <c r="G100" s="45"/>
      <c r="H100" s="45"/>
      <c r="I100" s="45"/>
      <c r="J100" s="44"/>
    </row>
    <row r="101" spans="2:10" x14ac:dyDescent="0.25">
      <c r="B101" s="35"/>
      <c r="F101" s="45"/>
      <c r="G101" s="45"/>
      <c r="H101" s="45"/>
      <c r="I101" s="45"/>
      <c r="J101" s="44"/>
    </row>
    <row r="102" spans="2:10" x14ac:dyDescent="0.25">
      <c r="B102" s="35"/>
      <c r="F102" s="45"/>
      <c r="G102" s="45"/>
      <c r="H102" s="45"/>
      <c r="I102" s="45"/>
      <c r="J102" s="44"/>
    </row>
    <row r="103" spans="2:10" x14ac:dyDescent="0.25">
      <c r="B103" s="35"/>
      <c r="F103" s="45"/>
      <c r="G103" s="45"/>
      <c r="H103" s="45"/>
      <c r="I103" s="45"/>
      <c r="J103" s="44"/>
    </row>
    <row r="104" spans="2:10" x14ac:dyDescent="0.25">
      <c r="B104" s="35"/>
      <c r="F104" s="45"/>
      <c r="G104" s="45"/>
      <c r="H104" s="45"/>
      <c r="I104" s="45"/>
      <c r="J104" s="44"/>
    </row>
    <row r="105" spans="2:10" x14ac:dyDescent="0.25">
      <c r="B105" s="35"/>
      <c r="F105" s="45"/>
      <c r="G105" s="45"/>
      <c r="H105" s="45"/>
      <c r="I105" s="45"/>
      <c r="J105" s="44"/>
    </row>
    <row r="106" spans="2:10" x14ac:dyDescent="0.25">
      <c r="B106" s="35"/>
      <c r="F106" s="45"/>
      <c r="G106" s="45"/>
      <c r="H106" s="45"/>
      <c r="I106" s="45"/>
      <c r="J106" s="44"/>
    </row>
    <row r="107" spans="2:10" x14ac:dyDescent="0.25">
      <c r="B107" s="35"/>
      <c r="F107" s="45"/>
      <c r="G107" s="45"/>
      <c r="H107" s="45"/>
      <c r="I107" s="45"/>
      <c r="J107" s="44"/>
    </row>
    <row r="108" spans="2:10" x14ac:dyDescent="0.25">
      <c r="B108" s="35"/>
      <c r="F108" s="45"/>
      <c r="G108" s="45"/>
      <c r="H108" s="45"/>
      <c r="I108" s="45"/>
      <c r="J108" s="44"/>
    </row>
    <row r="109" spans="2:10" x14ac:dyDescent="0.25">
      <c r="B109" s="35"/>
      <c r="F109" s="45"/>
      <c r="G109" s="45"/>
      <c r="H109" s="45"/>
      <c r="I109" s="45"/>
      <c r="J109" s="44"/>
    </row>
    <row r="110" spans="2:10" x14ac:dyDescent="0.25">
      <c r="B110" s="35"/>
      <c r="F110" s="45"/>
      <c r="G110" s="45"/>
      <c r="H110" s="45"/>
      <c r="I110" s="45"/>
      <c r="J110" s="44"/>
    </row>
    <row r="111" spans="2:10" x14ac:dyDescent="0.25">
      <c r="B111" s="35"/>
      <c r="F111" s="45"/>
      <c r="G111" s="45"/>
      <c r="H111" s="45"/>
      <c r="I111" s="45"/>
      <c r="J111" s="44"/>
    </row>
    <row r="112" spans="2:10" x14ac:dyDescent="0.25">
      <c r="B112" s="35"/>
      <c r="F112" s="45"/>
      <c r="G112" s="45"/>
      <c r="H112" s="45"/>
      <c r="I112" s="45"/>
      <c r="J112" s="44"/>
    </row>
    <row r="113" spans="2:10" x14ac:dyDescent="0.25">
      <c r="B113" s="35"/>
      <c r="F113" s="45"/>
      <c r="G113" s="45"/>
      <c r="H113" s="45"/>
      <c r="I113" s="45"/>
      <c r="J113" s="44"/>
    </row>
    <row r="114" spans="2:10" x14ac:dyDescent="0.25">
      <c r="B114" s="35"/>
      <c r="F114" s="45"/>
      <c r="G114" s="45"/>
      <c r="H114" s="45"/>
      <c r="I114" s="45"/>
      <c r="J114" s="44"/>
    </row>
    <row r="115" spans="2:10" x14ac:dyDescent="0.25">
      <c r="B115" s="35"/>
      <c r="F115" s="45"/>
      <c r="G115" s="45"/>
      <c r="H115" s="45"/>
      <c r="I115" s="45"/>
      <c r="J115" s="44"/>
    </row>
    <row r="116" spans="2:10" x14ac:dyDescent="0.25">
      <c r="B116" s="35"/>
      <c r="F116" s="45"/>
      <c r="G116" s="45"/>
      <c r="H116" s="45"/>
      <c r="I116" s="45"/>
      <c r="J116" s="44"/>
    </row>
    <row r="117" spans="2:10" x14ac:dyDescent="0.25">
      <c r="B117" s="35"/>
      <c r="F117" s="45"/>
      <c r="G117" s="45"/>
      <c r="H117" s="45"/>
      <c r="I117" s="45"/>
      <c r="J117" s="44"/>
    </row>
    <row r="118" spans="2:10" x14ac:dyDescent="0.25">
      <c r="B118" s="35"/>
      <c r="F118" s="45"/>
      <c r="G118" s="45"/>
      <c r="H118" s="45"/>
      <c r="I118" s="45"/>
      <c r="J118" s="44"/>
    </row>
    <row r="119" spans="2:10" x14ac:dyDescent="0.25">
      <c r="B119" s="35"/>
      <c r="F119" s="45"/>
      <c r="G119" s="45"/>
      <c r="H119" s="45"/>
      <c r="I119" s="45"/>
      <c r="J119" s="44"/>
    </row>
    <row r="120" spans="2:10" x14ac:dyDescent="0.25">
      <c r="B120" s="35"/>
      <c r="F120" s="45"/>
      <c r="G120" s="45"/>
      <c r="H120" s="45"/>
      <c r="I120" s="45"/>
      <c r="J120" s="44"/>
    </row>
    <row r="121" spans="2:10" x14ac:dyDescent="0.25">
      <c r="B121" s="35"/>
      <c r="F121" s="45"/>
      <c r="G121" s="45"/>
      <c r="H121" s="45"/>
      <c r="I121" s="45"/>
      <c r="J121" s="44"/>
    </row>
    <row r="122" spans="2:10" x14ac:dyDescent="0.25">
      <c r="B122" s="35"/>
      <c r="F122" s="45"/>
      <c r="G122" s="45"/>
      <c r="H122" s="45"/>
      <c r="I122" s="45"/>
      <c r="J122" s="44"/>
    </row>
    <row r="123" spans="2:10" x14ac:dyDescent="0.25">
      <c r="B123" s="35"/>
      <c r="F123" s="45"/>
      <c r="G123" s="45"/>
      <c r="H123" s="45"/>
      <c r="I123" s="45"/>
      <c r="J123" s="44"/>
    </row>
    <row r="124" spans="2:10" x14ac:dyDescent="0.25">
      <c r="B124" s="35"/>
      <c r="F124" s="45"/>
      <c r="G124" s="45"/>
      <c r="H124" s="45"/>
      <c r="I124" s="45"/>
      <c r="J124" s="44"/>
    </row>
    <row r="125" spans="2:10" x14ac:dyDescent="0.25">
      <c r="B125" s="35"/>
      <c r="F125" s="45"/>
      <c r="G125" s="45"/>
      <c r="H125" s="45"/>
      <c r="I125" s="45"/>
      <c r="J125" s="44"/>
    </row>
    <row r="126" spans="2:10" x14ac:dyDescent="0.25">
      <c r="B126" s="35"/>
      <c r="F126" s="45"/>
      <c r="G126" s="45"/>
      <c r="H126" s="45"/>
      <c r="I126" s="45"/>
      <c r="J126" s="44"/>
    </row>
    <row r="127" spans="2:10" x14ac:dyDescent="0.25">
      <c r="B127" s="35"/>
      <c r="F127" s="45"/>
      <c r="G127" s="45"/>
      <c r="H127" s="45"/>
      <c r="I127" s="45"/>
      <c r="J127" s="44"/>
    </row>
    <row r="128" spans="2:10" x14ac:dyDescent="0.25">
      <c r="B128" s="35"/>
      <c r="F128" s="45"/>
      <c r="G128" s="45"/>
      <c r="H128" s="45"/>
      <c r="I128" s="45"/>
      <c r="J128" s="44"/>
    </row>
    <row r="129" spans="2:10" x14ac:dyDescent="0.25">
      <c r="B129" s="35"/>
      <c r="F129" s="45"/>
      <c r="G129" s="45"/>
      <c r="H129" s="45"/>
      <c r="I129" s="45"/>
      <c r="J129" s="44"/>
    </row>
    <row r="130" spans="2:10" x14ac:dyDescent="0.25">
      <c r="B130" s="35"/>
      <c r="F130" s="45"/>
      <c r="G130" s="45"/>
      <c r="H130" s="45"/>
      <c r="I130" s="45"/>
      <c r="J130" s="44"/>
    </row>
    <row r="131" spans="2:10" x14ac:dyDescent="0.25">
      <c r="B131" s="35"/>
      <c r="F131" s="45"/>
      <c r="G131" s="45"/>
      <c r="H131" s="45"/>
      <c r="I131" s="45"/>
      <c r="J131" s="44"/>
    </row>
    <row r="132" spans="2:10" x14ac:dyDescent="0.25">
      <c r="B132" s="35"/>
      <c r="F132" s="45"/>
      <c r="G132" s="45"/>
      <c r="H132" s="45"/>
      <c r="I132" s="45"/>
      <c r="J132" s="44"/>
    </row>
    <row r="133" spans="2:10" x14ac:dyDescent="0.25">
      <c r="B133" s="35"/>
      <c r="F133" s="45"/>
      <c r="G133" s="45"/>
      <c r="H133" s="45"/>
      <c r="I133" s="45"/>
      <c r="J133" s="44"/>
    </row>
    <row r="134" spans="2:10" x14ac:dyDescent="0.25">
      <c r="B134" s="35"/>
      <c r="F134" s="45"/>
      <c r="G134" s="45"/>
      <c r="H134" s="45"/>
      <c r="I134" s="45"/>
      <c r="J134" s="44"/>
    </row>
    <row r="135" spans="2:10" x14ac:dyDescent="0.25">
      <c r="B135" s="35"/>
      <c r="F135" s="45"/>
      <c r="G135" s="45"/>
      <c r="H135" s="45"/>
      <c r="I135" s="45"/>
      <c r="J135" s="44"/>
    </row>
    <row r="136" spans="2:10" x14ac:dyDescent="0.25">
      <c r="B136" s="35"/>
      <c r="F136" s="45"/>
      <c r="G136" s="45"/>
      <c r="H136" s="45"/>
      <c r="I136" s="45"/>
      <c r="J136" s="44"/>
    </row>
    <row r="137" spans="2:10" x14ac:dyDescent="0.25">
      <c r="B137" s="35"/>
      <c r="F137" s="45"/>
      <c r="G137" s="45"/>
      <c r="H137" s="45"/>
      <c r="I137" s="45"/>
      <c r="J137" s="44"/>
    </row>
    <row r="138" spans="2:10" x14ac:dyDescent="0.25">
      <c r="B138" s="35"/>
      <c r="F138" s="45"/>
      <c r="G138" s="45"/>
      <c r="H138" s="45"/>
      <c r="I138" s="45"/>
      <c r="J138" s="44"/>
    </row>
    <row r="139" spans="2:10" x14ac:dyDescent="0.25">
      <c r="B139" s="35"/>
      <c r="F139" s="45"/>
      <c r="G139" s="45"/>
      <c r="H139" s="45"/>
      <c r="I139" s="45"/>
      <c r="J139" s="44"/>
    </row>
    <row r="140" spans="2:10" x14ac:dyDescent="0.25">
      <c r="B140" s="35"/>
      <c r="F140" s="45"/>
      <c r="G140" s="45"/>
      <c r="H140" s="45"/>
      <c r="I140" s="45"/>
      <c r="J140" s="44"/>
    </row>
    <row r="141" spans="2:10" x14ac:dyDescent="0.25">
      <c r="B141" s="35"/>
      <c r="F141" s="45"/>
      <c r="G141" s="45"/>
      <c r="H141" s="45"/>
      <c r="I141" s="45"/>
      <c r="J141" s="44"/>
    </row>
    <row r="142" spans="2:10" x14ac:dyDescent="0.25">
      <c r="B142" s="35"/>
      <c r="F142" s="45"/>
      <c r="G142" s="45"/>
      <c r="H142" s="45"/>
      <c r="I142" s="45"/>
      <c r="J142" s="44"/>
    </row>
    <row r="143" spans="2:10" x14ac:dyDescent="0.25">
      <c r="B143" s="35"/>
      <c r="F143" s="45"/>
      <c r="G143" s="45"/>
      <c r="H143" s="45"/>
      <c r="I143" s="45"/>
      <c r="J143" s="44"/>
    </row>
    <row r="144" spans="2:10" x14ac:dyDescent="0.25">
      <c r="B144" s="35"/>
      <c r="F144" s="45"/>
      <c r="G144" s="45"/>
      <c r="H144" s="45"/>
      <c r="I144" s="45"/>
      <c r="J144" s="44"/>
    </row>
    <row r="145" spans="2:10" x14ac:dyDescent="0.25">
      <c r="B145" s="35"/>
      <c r="F145" s="45"/>
      <c r="G145" s="45"/>
      <c r="H145" s="45"/>
      <c r="I145" s="45"/>
      <c r="J145" s="44"/>
    </row>
    <row r="146" spans="2:10" x14ac:dyDescent="0.25">
      <c r="B146" s="35"/>
      <c r="F146" s="45"/>
      <c r="G146" s="45"/>
      <c r="H146" s="45"/>
      <c r="I146" s="45"/>
      <c r="J146" s="44"/>
    </row>
    <row r="147" spans="2:10" x14ac:dyDescent="0.25">
      <c r="B147" s="35"/>
      <c r="F147" s="45"/>
      <c r="G147" s="45"/>
      <c r="H147" s="45"/>
      <c r="I147" s="45"/>
      <c r="J147" s="44"/>
    </row>
    <row r="148" spans="2:10" x14ac:dyDescent="0.25">
      <c r="B148" s="35"/>
      <c r="F148" s="45"/>
      <c r="G148" s="45"/>
      <c r="H148" s="45"/>
      <c r="I148" s="45"/>
      <c r="J148" s="44"/>
    </row>
    <row r="149" spans="2:10" x14ac:dyDescent="0.25">
      <c r="B149" s="35"/>
      <c r="F149" s="45"/>
      <c r="G149" s="45"/>
      <c r="H149" s="45"/>
      <c r="I149" s="45"/>
      <c r="J149" s="44"/>
    </row>
    <row r="150" spans="2:10" x14ac:dyDescent="0.25">
      <c r="B150" s="35"/>
      <c r="F150" s="45"/>
      <c r="G150" s="45"/>
      <c r="H150" s="45"/>
      <c r="I150" s="45"/>
      <c r="J150" s="44"/>
    </row>
    <row r="151" spans="2:10" x14ac:dyDescent="0.25">
      <c r="B151" s="35"/>
      <c r="F151" s="45"/>
      <c r="G151" s="45"/>
      <c r="H151" s="45"/>
      <c r="I151" s="45"/>
      <c r="J151" s="44"/>
    </row>
    <row r="152" spans="2:10" x14ac:dyDescent="0.25">
      <c r="B152" s="35"/>
      <c r="F152" s="45"/>
      <c r="G152" s="45"/>
      <c r="H152" s="45"/>
      <c r="I152" s="45"/>
      <c r="J152" s="44"/>
    </row>
    <row r="153" spans="2:10" x14ac:dyDescent="0.25">
      <c r="B153" s="35"/>
      <c r="F153" s="45"/>
      <c r="G153" s="45"/>
      <c r="H153" s="45"/>
      <c r="I153" s="45"/>
      <c r="J153" s="44"/>
    </row>
    <row r="154" spans="2:10" x14ac:dyDescent="0.25">
      <c r="B154" s="35"/>
      <c r="F154" s="45"/>
      <c r="G154" s="45"/>
      <c r="H154" s="45"/>
      <c r="I154" s="45"/>
      <c r="J154" s="44"/>
    </row>
    <row r="155" spans="2:10" x14ac:dyDescent="0.25">
      <c r="B155" s="35"/>
      <c r="F155" s="45"/>
      <c r="G155" s="45"/>
      <c r="H155" s="45"/>
      <c r="I155" s="45"/>
      <c r="J155" s="44"/>
    </row>
    <row r="156" spans="2:10" x14ac:dyDescent="0.25">
      <c r="B156" s="35"/>
      <c r="F156" s="45"/>
      <c r="G156" s="45"/>
      <c r="H156" s="45"/>
      <c r="I156" s="45"/>
      <c r="J156" s="44"/>
    </row>
    <row r="157" spans="2:10" x14ac:dyDescent="0.25">
      <c r="B157" s="35"/>
      <c r="F157" s="45"/>
      <c r="G157" s="45"/>
      <c r="H157" s="45"/>
      <c r="I157" s="45"/>
      <c r="J157" s="44"/>
    </row>
    <row r="158" spans="2:10" x14ac:dyDescent="0.25">
      <c r="B158" s="35"/>
      <c r="F158" s="45"/>
      <c r="G158" s="45"/>
      <c r="H158" s="45"/>
      <c r="I158" s="45"/>
      <c r="J158" s="44"/>
    </row>
    <row r="159" spans="2:10" x14ac:dyDescent="0.25">
      <c r="B159" s="35"/>
      <c r="F159" s="45"/>
      <c r="G159" s="45"/>
      <c r="H159" s="45"/>
      <c r="I159" s="45"/>
      <c r="J159" s="44"/>
    </row>
    <row r="160" spans="2:10" x14ac:dyDescent="0.25">
      <c r="B160" s="35"/>
      <c r="F160" s="45"/>
      <c r="G160" s="45"/>
      <c r="H160" s="45"/>
      <c r="I160" s="45"/>
      <c r="J160" s="44"/>
    </row>
    <row r="161" spans="2:10" x14ac:dyDescent="0.25">
      <c r="B161" s="35"/>
      <c r="F161" s="45"/>
      <c r="G161" s="45"/>
      <c r="H161" s="45"/>
      <c r="I161" s="45"/>
      <c r="J161" s="44"/>
    </row>
    <row r="162" spans="2:10" x14ac:dyDescent="0.25">
      <c r="B162" s="35"/>
      <c r="F162" s="45"/>
      <c r="G162" s="45"/>
      <c r="H162" s="45"/>
      <c r="I162" s="45"/>
      <c r="J162" s="44"/>
    </row>
    <row r="163" spans="2:10" x14ac:dyDescent="0.25">
      <c r="B163" s="35"/>
      <c r="F163" s="45"/>
      <c r="G163" s="45"/>
      <c r="H163" s="45"/>
      <c r="I163" s="45"/>
      <c r="J163" s="44"/>
    </row>
    <row r="164" spans="2:10" x14ac:dyDescent="0.25">
      <c r="B164" s="35"/>
      <c r="F164" s="45"/>
      <c r="G164" s="45"/>
      <c r="H164" s="45"/>
      <c r="I164" s="45"/>
      <c r="J164" s="44"/>
    </row>
    <row r="165" spans="2:10" x14ac:dyDescent="0.25">
      <c r="B165" s="35"/>
      <c r="F165" s="45"/>
      <c r="G165" s="45"/>
      <c r="H165" s="45"/>
      <c r="I165" s="45"/>
      <c r="J165" s="44"/>
    </row>
    <row r="166" spans="2:10" x14ac:dyDescent="0.25">
      <c r="B166" s="35"/>
      <c r="F166" s="45"/>
      <c r="G166" s="45"/>
      <c r="H166" s="45"/>
      <c r="I166" s="45"/>
      <c r="J166" s="44"/>
    </row>
    <row r="167" spans="2:10" x14ac:dyDescent="0.25">
      <c r="B167"/>
    </row>
    <row r="168" spans="2:10" x14ac:dyDescent="0.25">
      <c r="B168"/>
    </row>
    <row r="169" spans="2:10" x14ac:dyDescent="0.25">
      <c r="B169"/>
    </row>
    <row r="170" spans="2:10" x14ac:dyDescent="0.25">
      <c r="B170"/>
    </row>
    <row r="171" spans="2:10" x14ac:dyDescent="0.25">
      <c r="B171"/>
    </row>
    <row r="172" spans="2:10" x14ac:dyDescent="0.25">
      <c r="B172"/>
    </row>
    <row r="173" spans="2:10" x14ac:dyDescent="0.25">
      <c r="B173"/>
    </row>
    <row r="174" spans="2:10" x14ac:dyDescent="0.25">
      <c r="B174"/>
    </row>
    <row r="175" spans="2:10" x14ac:dyDescent="0.25">
      <c r="B175"/>
    </row>
    <row r="176" spans="2:10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  <row r="243" spans="2:2" x14ac:dyDescent="0.25">
      <c r="B243"/>
    </row>
    <row r="244" spans="2:2" x14ac:dyDescent="0.25">
      <c r="B244"/>
    </row>
    <row r="245" spans="2:2" x14ac:dyDescent="0.25">
      <c r="B245"/>
    </row>
    <row r="246" spans="2:2" x14ac:dyDescent="0.25">
      <c r="B246"/>
    </row>
    <row r="247" spans="2:2" x14ac:dyDescent="0.25">
      <c r="B247"/>
    </row>
    <row r="248" spans="2:2" x14ac:dyDescent="0.25">
      <c r="B248"/>
    </row>
    <row r="249" spans="2:2" x14ac:dyDescent="0.25">
      <c r="B249"/>
    </row>
    <row r="250" spans="2:2" x14ac:dyDescent="0.25">
      <c r="B250"/>
    </row>
    <row r="251" spans="2:2" x14ac:dyDescent="0.25">
      <c r="B251"/>
    </row>
    <row r="252" spans="2:2" x14ac:dyDescent="0.25">
      <c r="B252"/>
    </row>
    <row r="253" spans="2:2" x14ac:dyDescent="0.25">
      <c r="B253"/>
    </row>
    <row r="254" spans="2:2" x14ac:dyDescent="0.25">
      <c r="B254"/>
    </row>
    <row r="255" spans="2:2" x14ac:dyDescent="0.25">
      <c r="B255"/>
    </row>
    <row r="256" spans="2:2" x14ac:dyDescent="0.25">
      <c r="B256"/>
    </row>
    <row r="257" spans="2:2" x14ac:dyDescent="0.25">
      <c r="B257"/>
    </row>
    <row r="258" spans="2:2" x14ac:dyDescent="0.25">
      <c r="B258"/>
    </row>
    <row r="259" spans="2:2" x14ac:dyDescent="0.25">
      <c r="B259"/>
    </row>
    <row r="260" spans="2:2" x14ac:dyDescent="0.25">
      <c r="B260"/>
    </row>
    <row r="261" spans="2:2" x14ac:dyDescent="0.25">
      <c r="B261"/>
    </row>
    <row r="262" spans="2:2" x14ac:dyDescent="0.25">
      <c r="B262"/>
    </row>
    <row r="263" spans="2:2" x14ac:dyDescent="0.25">
      <c r="B263"/>
    </row>
    <row r="264" spans="2:2" x14ac:dyDescent="0.25">
      <c r="B264"/>
    </row>
    <row r="265" spans="2:2" x14ac:dyDescent="0.25">
      <c r="B265"/>
    </row>
    <row r="266" spans="2:2" x14ac:dyDescent="0.25">
      <c r="B266"/>
    </row>
    <row r="267" spans="2:2" x14ac:dyDescent="0.25">
      <c r="B267"/>
    </row>
    <row r="268" spans="2:2" x14ac:dyDescent="0.25">
      <c r="B268"/>
    </row>
    <row r="269" spans="2:2" x14ac:dyDescent="0.25">
      <c r="B269"/>
    </row>
    <row r="270" spans="2:2" x14ac:dyDescent="0.25">
      <c r="B270"/>
    </row>
    <row r="271" spans="2:2" x14ac:dyDescent="0.25">
      <c r="B271"/>
    </row>
    <row r="272" spans="2:2" x14ac:dyDescent="0.25">
      <c r="B272"/>
    </row>
    <row r="273" spans="2:2" x14ac:dyDescent="0.25">
      <c r="B273"/>
    </row>
    <row r="274" spans="2:2" x14ac:dyDescent="0.25">
      <c r="B274"/>
    </row>
    <row r="275" spans="2:2" x14ac:dyDescent="0.25">
      <c r="B275"/>
    </row>
    <row r="276" spans="2:2" x14ac:dyDescent="0.25">
      <c r="B276"/>
    </row>
    <row r="277" spans="2:2" x14ac:dyDescent="0.25">
      <c r="B277"/>
    </row>
    <row r="278" spans="2:2" x14ac:dyDescent="0.25">
      <c r="B278"/>
    </row>
    <row r="279" spans="2:2" x14ac:dyDescent="0.25">
      <c r="B279"/>
    </row>
    <row r="280" spans="2:2" x14ac:dyDescent="0.25">
      <c r="B280"/>
    </row>
    <row r="281" spans="2:2" x14ac:dyDescent="0.25">
      <c r="B281"/>
    </row>
    <row r="282" spans="2:2" x14ac:dyDescent="0.25">
      <c r="B282"/>
    </row>
    <row r="283" spans="2:2" x14ac:dyDescent="0.25">
      <c r="B283"/>
    </row>
    <row r="284" spans="2:2" x14ac:dyDescent="0.25">
      <c r="B284"/>
    </row>
    <row r="285" spans="2:2" x14ac:dyDescent="0.25">
      <c r="B285"/>
    </row>
    <row r="286" spans="2:2" x14ac:dyDescent="0.25">
      <c r="B286"/>
    </row>
    <row r="287" spans="2:2" x14ac:dyDescent="0.25">
      <c r="B287"/>
    </row>
    <row r="288" spans="2:2" x14ac:dyDescent="0.25">
      <c r="B288"/>
    </row>
    <row r="289" spans="2:2" x14ac:dyDescent="0.25">
      <c r="B289"/>
    </row>
    <row r="290" spans="2:2" x14ac:dyDescent="0.25">
      <c r="B290"/>
    </row>
    <row r="291" spans="2:2" x14ac:dyDescent="0.25">
      <c r="B291"/>
    </row>
    <row r="292" spans="2:2" x14ac:dyDescent="0.25">
      <c r="B292"/>
    </row>
    <row r="293" spans="2:2" x14ac:dyDescent="0.25">
      <c r="B293"/>
    </row>
    <row r="294" spans="2:2" x14ac:dyDescent="0.25">
      <c r="B294"/>
    </row>
    <row r="295" spans="2:2" x14ac:dyDescent="0.25">
      <c r="B295"/>
    </row>
    <row r="296" spans="2:2" x14ac:dyDescent="0.25">
      <c r="B296"/>
    </row>
    <row r="297" spans="2:2" x14ac:dyDescent="0.25">
      <c r="B297"/>
    </row>
    <row r="298" spans="2:2" x14ac:dyDescent="0.25">
      <c r="B298"/>
    </row>
    <row r="299" spans="2:2" x14ac:dyDescent="0.25">
      <c r="B299"/>
    </row>
    <row r="300" spans="2:2" x14ac:dyDescent="0.25">
      <c r="B300"/>
    </row>
    <row r="301" spans="2:2" x14ac:dyDescent="0.25">
      <c r="B301"/>
    </row>
    <row r="302" spans="2:2" x14ac:dyDescent="0.25">
      <c r="B302"/>
    </row>
    <row r="303" spans="2:2" x14ac:dyDescent="0.25">
      <c r="B303"/>
    </row>
    <row r="304" spans="2:2" x14ac:dyDescent="0.25">
      <c r="B304"/>
    </row>
    <row r="305" spans="2:2" x14ac:dyDescent="0.25">
      <c r="B305"/>
    </row>
    <row r="306" spans="2:2" x14ac:dyDescent="0.25">
      <c r="B306"/>
    </row>
    <row r="307" spans="2:2" x14ac:dyDescent="0.25">
      <c r="B307"/>
    </row>
    <row r="308" spans="2:2" x14ac:dyDescent="0.25">
      <c r="B308"/>
    </row>
    <row r="309" spans="2:2" x14ac:dyDescent="0.25">
      <c r="B309"/>
    </row>
    <row r="310" spans="2:2" x14ac:dyDescent="0.25">
      <c r="B310"/>
    </row>
    <row r="311" spans="2:2" x14ac:dyDescent="0.25">
      <c r="B311"/>
    </row>
    <row r="312" spans="2:2" x14ac:dyDescent="0.25">
      <c r="B312"/>
    </row>
    <row r="313" spans="2:2" x14ac:dyDescent="0.25">
      <c r="B313"/>
    </row>
    <row r="314" spans="2:2" x14ac:dyDescent="0.25">
      <c r="B314"/>
    </row>
    <row r="315" spans="2:2" x14ac:dyDescent="0.25">
      <c r="B315"/>
    </row>
    <row r="316" spans="2:2" x14ac:dyDescent="0.25">
      <c r="B316"/>
    </row>
    <row r="317" spans="2:2" x14ac:dyDescent="0.25">
      <c r="B317"/>
    </row>
    <row r="318" spans="2:2" x14ac:dyDescent="0.25">
      <c r="B318"/>
    </row>
    <row r="319" spans="2:2" x14ac:dyDescent="0.25">
      <c r="B319"/>
    </row>
    <row r="320" spans="2:2" x14ac:dyDescent="0.25">
      <c r="B320"/>
    </row>
    <row r="321" spans="2:2" x14ac:dyDescent="0.25">
      <c r="B321"/>
    </row>
    <row r="322" spans="2:2" x14ac:dyDescent="0.25">
      <c r="B322"/>
    </row>
    <row r="323" spans="2:2" x14ac:dyDescent="0.25">
      <c r="B323"/>
    </row>
    <row r="324" spans="2:2" x14ac:dyDescent="0.25">
      <c r="B324"/>
    </row>
    <row r="325" spans="2:2" x14ac:dyDescent="0.25">
      <c r="B325"/>
    </row>
    <row r="326" spans="2:2" x14ac:dyDescent="0.25">
      <c r="B326"/>
    </row>
    <row r="327" spans="2:2" x14ac:dyDescent="0.25">
      <c r="B327"/>
    </row>
    <row r="328" spans="2:2" x14ac:dyDescent="0.25">
      <c r="B328"/>
    </row>
    <row r="329" spans="2:2" x14ac:dyDescent="0.25">
      <c r="B329"/>
    </row>
    <row r="330" spans="2:2" x14ac:dyDescent="0.25">
      <c r="B330"/>
    </row>
    <row r="331" spans="2:2" x14ac:dyDescent="0.25">
      <c r="B331"/>
    </row>
    <row r="332" spans="2:2" x14ac:dyDescent="0.25">
      <c r="B332"/>
    </row>
    <row r="333" spans="2:2" x14ac:dyDescent="0.25">
      <c r="B333"/>
    </row>
    <row r="334" spans="2:2" x14ac:dyDescent="0.25">
      <c r="B334"/>
    </row>
    <row r="335" spans="2:2" x14ac:dyDescent="0.25">
      <c r="B335"/>
    </row>
    <row r="336" spans="2:2" x14ac:dyDescent="0.25">
      <c r="B336"/>
    </row>
    <row r="337" spans="2:2" x14ac:dyDescent="0.25">
      <c r="B337"/>
    </row>
    <row r="338" spans="2:2" x14ac:dyDescent="0.25">
      <c r="B338"/>
    </row>
    <row r="339" spans="2:2" x14ac:dyDescent="0.25">
      <c r="B339"/>
    </row>
    <row r="340" spans="2:2" x14ac:dyDescent="0.25">
      <c r="B340"/>
    </row>
    <row r="341" spans="2:2" x14ac:dyDescent="0.25">
      <c r="B341"/>
    </row>
    <row r="342" spans="2:2" x14ac:dyDescent="0.25">
      <c r="B342"/>
    </row>
    <row r="343" spans="2:2" x14ac:dyDescent="0.25">
      <c r="B343"/>
    </row>
    <row r="344" spans="2:2" x14ac:dyDescent="0.25">
      <c r="B344"/>
    </row>
    <row r="345" spans="2:2" x14ac:dyDescent="0.25">
      <c r="B345"/>
    </row>
    <row r="346" spans="2:2" x14ac:dyDescent="0.25">
      <c r="B346"/>
    </row>
    <row r="347" spans="2:2" x14ac:dyDescent="0.25">
      <c r="B347"/>
    </row>
    <row r="348" spans="2:2" x14ac:dyDescent="0.25">
      <c r="B348"/>
    </row>
    <row r="349" spans="2:2" x14ac:dyDescent="0.25">
      <c r="B349"/>
    </row>
    <row r="350" spans="2:2" x14ac:dyDescent="0.25">
      <c r="B350"/>
    </row>
    <row r="351" spans="2:2" x14ac:dyDescent="0.25">
      <c r="B351"/>
    </row>
    <row r="352" spans="2:2" x14ac:dyDescent="0.25">
      <c r="B352"/>
    </row>
    <row r="353" spans="2:2" x14ac:dyDescent="0.25">
      <c r="B353"/>
    </row>
    <row r="354" spans="2:2" x14ac:dyDescent="0.25">
      <c r="B354"/>
    </row>
    <row r="355" spans="2:2" x14ac:dyDescent="0.25">
      <c r="B355"/>
    </row>
    <row r="356" spans="2:2" x14ac:dyDescent="0.25">
      <c r="B356"/>
    </row>
    <row r="357" spans="2:2" x14ac:dyDescent="0.25">
      <c r="B357"/>
    </row>
    <row r="358" spans="2:2" x14ac:dyDescent="0.25">
      <c r="B358"/>
    </row>
    <row r="359" spans="2:2" x14ac:dyDescent="0.25">
      <c r="B359"/>
    </row>
    <row r="360" spans="2:2" x14ac:dyDescent="0.25">
      <c r="B360"/>
    </row>
    <row r="361" spans="2:2" x14ac:dyDescent="0.25">
      <c r="B361"/>
    </row>
    <row r="362" spans="2:2" x14ac:dyDescent="0.25">
      <c r="B362"/>
    </row>
    <row r="363" spans="2:2" x14ac:dyDescent="0.25">
      <c r="B363"/>
    </row>
    <row r="364" spans="2:2" x14ac:dyDescent="0.25">
      <c r="B364"/>
    </row>
    <row r="365" spans="2:2" x14ac:dyDescent="0.25">
      <c r="B365"/>
    </row>
    <row r="366" spans="2:2" x14ac:dyDescent="0.25">
      <c r="B366"/>
    </row>
    <row r="367" spans="2:2" x14ac:dyDescent="0.25">
      <c r="B367"/>
    </row>
    <row r="368" spans="2:2" x14ac:dyDescent="0.25">
      <c r="B368"/>
    </row>
    <row r="369" spans="2:2" x14ac:dyDescent="0.25">
      <c r="B369"/>
    </row>
    <row r="370" spans="2:2" x14ac:dyDescent="0.25">
      <c r="B370"/>
    </row>
    <row r="371" spans="2:2" x14ac:dyDescent="0.25">
      <c r="B371"/>
    </row>
    <row r="372" spans="2:2" x14ac:dyDescent="0.25">
      <c r="B372"/>
    </row>
    <row r="373" spans="2:2" x14ac:dyDescent="0.25">
      <c r="B373"/>
    </row>
    <row r="374" spans="2:2" x14ac:dyDescent="0.25">
      <c r="B374"/>
    </row>
    <row r="375" spans="2:2" x14ac:dyDescent="0.25">
      <c r="B375"/>
    </row>
    <row r="376" spans="2:2" x14ac:dyDescent="0.25">
      <c r="B376"/>
    </row>
    <row r="377" spans="2:2" x14ac:dyDescent="0.25">
      <c r="B377"/>
    </row>
    <row r="378" spans="2:2" x14ac:dyDescent="0.25">
      <c r="B378"/>
    </row>
    <row r="379" spans="2:2" x14ac:dyDescent="0.25">
      <c r="B379"/>
    </row>
    <row r="380" spans="2:2" x14ac:dyDescent="0.25">
      <c r="B380"/>
    </row>
    <row r="381" spans="2:2" x14ac:dyDescent="0.25">
      <c r="B381"/>
    </row>
    <row r="382" spans="2:2" x14ac:dyDescent="0.25">
      <c r="B382"/>
    </row>
    <row r="383" spans="2:2" x14ac:dyDescent="0.25">
      <c r="B383"/>
    </row>
    <row r="384" spans="2:2" x14ac:dyDescent="0.25">
      <c r="B384"/>
    </row>
    <row r="385" spans="2:2" x14ac:dyDescent="0.25">
      <c r="B385"/>
    </row>
    <row r="386" spans="2:2" x14ac:dyDescent="0.25">
      <c r="B386"/>
    </row>
    <row r="387" spans="2:2" x14ac:dyDescent="0.25">
      <c r="B387"/>
    </row>
    <row r="388" spans="2:2" x14ac:dyDescent="0.25">
      <c r="B388"/>
    </row>
    <row r="389" spans="2:2" x14ac:dyDescent="0.25">
      <c r="B389"/>
    </row>
    <row r="390" spans="2:2" x14ac:dyDescent="0.25">
      <c r="B390"/>
    </row>
    <row r="391" spans="2:2" x14ac:dyDescent="0.25">
      <c r="B391"/>
    </row>
    <row r="392" spans="2:2" x14ac:dyDescent="0.25">
      <c r="B392"/>
    </row>
    <row r="393" spans="2:2" x14ac:dyDescent="0.25">
      <c r="B393"/>
    </row>
    <row r="394" spans="2:2" x14ac:dyDescent="0.25">
      <c r="B394"/>
    </row>
    <row r="395" spans="2:2" x14ac:dyDescent="0.25">
      <c r="B395"/>
    </row>
    <row r="396" spans="2:2" x14ac:dyDescent="0.25">
      <c r="B396"/>
    </row>
    <row r="397" spans="2:2" x14ac:dyDescent="0.25">
      <c r="B397"/>
    </row>
    <row r="398" spans="2:2" x14ac:dyDescent="0.25">
      <c r="B398"/>
    </row>
    <row r="399" spans="2:2" x14ac:dyDescent="0.25">
      <c r="B399"/>
    </row>
    <row r="400" spans="2:2" x14ac:dyDescent="0.25">
      <c r="B400"/>
    </row>
    <row r="401" spans="2:2" x14ac:dyDescent="0.25">
      <c r="B401"/>
    </row>
    <row r="402" spans="2:2" x14ac:dyDescent="0.25">
      <c r="B402"/>
    </row>
    <row r="403" spans="2:2" x14ac:dyDescent="0.25">
      <c r="B403"/>
    </row>
    <row r="404" spans="2:2" x14ac:dyDescent="0.25">
      <c r="B404"/>
    </row>
    <row r="405" spans="2:2" x14ac:dyDescent="0.25">
      <c r="B405"/>
    </row>
    <row r="406" spans="2:2" x14ac:dyDescent="0.25">
      <c r="B406"/>
    </row>
    <row r="407" spans="2:2" x14ac:dyDescent="0.25">
      <c r="B407"/>
    </row>
    <row r="408" spans="2:2" x14ac:dyDescent="0.25">
      <c r="B408"/>
    </row>
    <row r="409" spans="2:2" x14ac:dyDescent="0.25">
      <c r="B409"/>
    </row>
    <row r="410" spans="2:2" x14ac:dyDescent="0.25">
      <c r="B410"/>
    </row>
    <row r="411" spans="2:2" x14ac:dyDescent="0.25">
      <c r="B411"/>
    </row>
    <row r="412" spans="2:2" x14ac:dyDescent="0.25">
      <c r="B412"/>
    </row>
    <row r="413" spans="2:2" x14ac:dyDescent="0.25">
      <c r="B413"/>
    </row>
    <row r="414" spans="2:2" x14ac:dyDescent="0.25">
      <c r="B414"/>
    </row>
    <row r="415" spans="2:2" x14ac:dyDescent="0.25">
      <c r="B415"/>
    </row>
    <row r="416" spans="2:2" x14ac:dyDescent="0.25">
      <c r="B416"/>
    </row>
    <row r="417" spans="2:2" x14ac:dyDescent="0.25">
      <c r="B417"/>
    </row>
    <row r="418" spans="2:2" x14ac:dyDescent="0.25">
      <c r="B418"/>
    </row>
    <row r="419" spans="2:2" x14ac:dyDescent="0.25">
      <c r="B419"/>
    </row>
    <row r="420" spans="2:2" x14ac:dyDescent="0.25">
      <c r="B420"/>
    </row>
    <row r="421" spans="2:2" x14ac:dyDescent="0.25">
      <c r="B421"/>
    </row>
    <row r="422" spans="2:2" x14ac:dyDescent="0.25">
      <c r="B422"/>
    </row>
    <row r="423" spans="2:2" x14ac:dyDescent="0.25">
      <c r="B423"/>
    </row>
    <row r="424" spans="2:2" x14ac:dyDescent="0.25">
      <c r="B424"/>
    </row>
    <row r="425" spans="2:2" x14ac:dyDescent="0.25">
      <c r="B425"/>
    </row>
    <row r="426" spans="2:2" x14ac:dyDescent="0.25">
      <c r="B426"/>
    </row>
    <row r="427" spans="2:2" x14ac:dyDescent="0.25">
      <c r="B427"/>
    </row>
    <row r="428" spans="2:2" x14ac:dyDescent="0.25">
      <c r="B428"/>
    </row>
    <row r="429" spans="2:2" x14ac:dyDescent="0.25">
      <c r="B429"/>
    </row>
    <row r="430" spans="2:2" x14ac:dyDescent="0.25">
      <c r="B430"/>
    </row>
    <row r="431" spans="2:2" x14ac:dyDescent="0.25">
      <c r="B431"/>
    </row>
    <row r="432" spans="2:2" x14ac:dyDescent="0.25">
      <c r="B432"/>
    </row>
    <row r="433" spans="2:2" x14ac:dyDescent="0.25">
      <c r="B433"/>
    </row>
    <row r="434" spans="2:2" x14ac:dyDescent="0.25">
      <c r="B434"/>
    </row>
    <row r="435" spans="2:2" x14ac:dyDescent="0.25">
      <c r="B435"/>
    </row>
    <row r="436" spans="2:2" x14ac:dyDescent="0.25">
      <c r="B436"/>
    </row>
    <row r="437" spans="2:2" x14ac:dyDescent="0.25">
      <c r="B437"/>
    </row>
    <row r="438" spans="2:2" x14ac:dyDescent="0.25">
      <c r="B438"/>
    </row>
    <row r="439" spans="2:2" x14ac:dyDescent="0.25">
      <c r="B439"/>
    </row>
    <row r="440" spans="2:2" x14ac:dyDescent="0.25">
      <c r="B440"/>
    </row>
    <row r="441" spans="2:2" x14ac:dyDescent="0.25">
      <c r="B441"/>
    </row>
    <row r="442" spans="2:2" x14ac:dyDescent="0.25">
      <c r="B442"/>
    </row>
    <row r="443" spans="2:2" x14ac:dyDescent="0.25">
      <c r="B443"/>
    </row>
    <row r="444" spans="2:2" x14ac:dyDescent="0.25">
      <c r="B444"/>
    </row>
    <row r="445" spans="2:2" x14ac:dyDescent="0.25">
      <c r="B445"/>
    </row>
    <row r="446" spans="2:2" x14ac:dyDescent="0.25">
      <c r="B446"/>
    </row>
    <row r="447" spans="2:2" x14ac:dyDescent="0.25">
      <c r="B447"/>
    </row>
    <row r="448" spans="2:2" x14ac:dyDescent="0.25">
      <c r="B448"/>
    </row>
    <row r="449" spans="2:2" x14ac:dyDescent="0.25">
      <c r="B449"/>
    </row>
    <row r="450" spans="2:2" x14ac:dyDescent="0.25">
      <c r="B450"/>
    </row>
    <row r="451" spans="2:2" x14ac:dyDescent="0.25">
      <c r="B451"/>
    </row>
    <row r="452" spans="2:2" x14ac:dyDescent="0.25">
      <c r="B452"/>
    </row>
    <row r="453" spans="2:2" x14ac:dyDescent="0.25">
      <c r="B453"/>
    </row>
    <row r="454" spans="2:2" x14ac:dyDescent="0.25">
      <c r="B454"/>
    </row>
    <row r="455" spans="2:2" x14ac:dyDescent="0.25">
      <c r="B455"/>
    </row>
    <row r="456" spans="2:2" x14ac:dyDescent="0.25">
      <c r="B456"/>
    </row>
    <row r="457" spans="2:2" x14ac:dyDescent="0.25">
      <c r="B457"/>
    </row>
    <row r="458" spans="2:2" x14ac:dyDescent="0.25">
      <c r="B458"/>
    </row>
    <row r="459" spans="2:2" x14ac:dyDescent="0.25">
      <c r="B459"/>
    </row>
    <row r="460" spans="2:2" x14ac:dyDescent="0.25">
      <c r="B460"/>
    </row>
    <row r="461" spans="2:2" x14ac:dyDescent="0.25">
      <c r="B461"/>
    </row>
    <row r="462" spans="2:2" x14ac:dyDescent="0.25">
      <c r="B462"/>
    </row>
    <row r="463" spans="2:2" x14ac:dyDescent="0.25">
      <c r="B463"/>
    </row>
    <row r="464" spans="2:2" x14ac:dyDescent="0.25">
      <c r="B464"/>
    </row>
    <row r="465" spans="2:2" x14ac:dyDescent="0.25">
      <c r="B465"/>
    </row>
    <row r="466" spans="2:2" x14ac:dyDescent="0.25">
      <c r="B466"/>
    </row>
    <row r="467" spans="2:2" x14ac:dyDescent="0.25">
      <c r="B467"/>
    </row>
    <row r="468" spans="2:2" x14ac:dyDescent="0.25">
      <c r="B468"/>
    </row>
    <row r="469" spans="2:2" x14ac:dyDescent="0.25">
      <c r="B469"/>
    </row>
    <row r="470" spans="2:2" x14ac:dyDescent="0.25">
      <c r="B470"/>
    </row>
    <row r="471" spans="2:2" x14ac:dyDescent="0.25">
      <c r="B471"/>
    </row>
    <row r="472" spans="2:2" x14ac:dyDescent="0.25">
      <c r="B472"/>
    </row>
    <row r="473" spans="2:2" x14ac:dyDescent="0.25">
      <c r="B473"/>
    </row>
    <row r="474" spans="2:2" x14ac:dyDescent="0.25">
      <c r="B474"/>
    </row>
    <row r="475" spans="2:2" x14ac:dyDescent="0.25">
      <c r="B475"/>
    </row>
    <row r="476" spans="2:2" x14ac:dyDescent="0.25">
      <c r="B476"/>
    </row>
    <row r="477" spans="2:2" x14ac:dyDescent="0.25">
      <c r="B477"/>
    </row>
    <row r="478" spans="2:2" x14ac:dyDescent="0.25">
      <c r="B478"/>
    </row>
    <row r="479" spans="2:2" x14ac:dyDescent="0.25">
      <c r="B479"/>
    </row>
    <row r="480" spans="2:2" x14ac:dyDescent="0.25">
      <c r="B480"/>
    </row>
    <row r="481" spans="2:2" x14ac:dyDescent="0.25">
      <c r="B481"/>
    </row>
    <row r="482" spans="2:2" x14ac:dyDescent="0.25">
      <c r="B482"/>
    </row>
    <row r="483" spans="2:2" x14ac:dyDescent="0.25">
      <c r="B483"/>
    </row>
    <row r="484" spans="2:2" x14ac:dyDescent="0.25">
      <c r="B484"/>
    </row>
    <row r="485" spans="2:2" x14ac:dyDescent="0.25">
      <c r="B485"/>
    </row>
    <row r="486" spans="2:2" x14ac:dyDescent="0.25">
      <c r="B486"/>
    </row>
    <row r="487" spans="2:2" x14ac:dyDescent="0.25">
      <c r="B487"/>
    </row>
    <row r="488" spans="2:2" x14ac:dyDescent="0.25">
      <c r="B488"/>
    </row>
    <row r="489" spans="2:2" x14ac:dyDescent="0.25">
      <c r="B489"/>
    </row>
    <row r="490" spans="2:2" x14ac:dyDescent="0.25">
      <c r="B490"/>
    </row>
    <row r="491" spans="2:2" x14ac:dyDescent="0.25">
      <c r="B491"/>
    </row>
    <row r="492" spans="2:2" x14ac:dyDescent="0.25">
      <c r="B492"/>
    </row>
    <row r="493" spans="2:2" x14ac:dyDescent="0.25">
      <c r="B493"/>
    </row>
    <row r="494" spans="2:2" x14ac:dyDescent="0.25">
      <c r="B494"/>
    </row>
    <row r="495" spans="2:2" x14ac:dyDescent="0.25">
      <c r="B495"/>
    </row>
    <row r="496" spans="2:2" x14ac:dyDescent="0.25">
      <c r="B496"/>
    </row>
    <row r="497" spans="2:2" x14ac:dyDescent="0.25">
      <c r="B497"/>
    </row>
    <row r="498" spans="2:2" x14ac:dyDescent="0.25">
      <c r="B498"/>
    </row>
    <row r="499" spans="2:2" x14ac:dyDescent="0.25">
      <c r="B499"/>
    </row>
    <row r="500" spans="2:2" x14ac:dyDescent="0.25">
      <c r="B500"/>
    </row>
    <row r="501" spans="2:2" x14ac:dyDescent="0.25">
      <c r="B501"/>
    </row>
    <row r="502" spans="2:2" x14ac:dyDescent="0.25">
      <c r="B502"/>
    </row>
    <row r="503" spans="2:2" x14ac:dyDescent="0.25">
      <c r="B503"/>
    </row>
    <row r="504" spans="2:2" x14ac:dyDescent="0.25">
      <c r="B504"/>
    </row>
    <row r="505" spans="2:2" x14ac:dyDescent="0.25">
      <c r="B505"/>
    </row>
    <row r="506" spans="2:2" x14ac:dyDescent="0.25">
      <c r="B506"/>
    </row>
    <row r="507" spans="2:2" x14ac:dyDescent="0.25">
      <c r="B507"/>
    </row>
    <row r="508" spans="2:2" x14ac:dyDescent="0.25">
      <c r="B508"/>
    </row>
    <row r="509" spans="2:2" x14ac:dyDescent="0.25">
      <c r="B509"/>
    </row>
    <row r="510" spans="2:2" x14ac:dyDescent="0.25">
      <c r="B510"/>
    </row>
    <row r="511" spans="2:2" x14ac:dyDescent="0.25">
      <c r="B511"/>
    </row>
    <row r="512" spans="2:2" x14ac:dyDescent="0.25">
      <c r="B512"/>
    </row>
    <row r="513" spans="2:2" x14ac:dyDescent="0.25">
      <c r="B513"/>
    </row>
    <row r="514" spans="2:2" x14ac:dyDescent="0.25">
      <c r="B514"/>
    </row>
    <row r="515" spans="2:2" x14ac:dyDescent="0.25">
      <c r="B515"/>
    </row>
    <row r="516" spans="2:2" x14ac:dyDescent="0.25">
      <c r="B516"/>
    </row>
    <row r="517" spans="2:2" x14ac:dyDescent="0.25">
      <c r="B517"/>
    </row>
    <row r="518" spans="2:2" x14ac:dyDescent="0.25">
      <c r="B518"/>
    </row>
    <row r="519" spans="2:2" x14ac:dyDescent="0.25">
      <c r="B519"/>
    </row>
    <row r="520" spans="2:2" x14ac:dyDescent="0.25">
      <c r="B520"/>
    </row>
    <row r="521" spans="2:2" x14ac:dyDescent="0.25">
      <c r="B521"/>
    </row>
    <row r="522" spans="2:2" x14ac:dyDescent="0.25">
      <c r="B522"/>
    </row>
    <row r="523" spans="2:2" x14ac:dyDescent="0.25">
      <c r="B523"/>
    </row>
    <row r="524" spans="2:2" x14ac:dyDescent="0.25">
      <c r="B524"/>
    </row>
    <row r="525" spans="2:2" x14ac:dyDescent="0.25">
      <c r="B525"/>
    </row>
    <row r="526" spans="2:2" x14ac:dyDescent="0.25">
      <c r="B526"/>
    </row>
    <row r="527" spans="2:2" x14ac:dyDescent="0.25">
      <c r="B527"/>
    </row>
    <row r="528" spans="2:2" x14ac:dyDescent="0.25">
      <c r="B528"/>
    </row>
    <row r="529" spans="2:2" x14ac:dyDescent="0.25">
      <c r="B529"/>
    </row>
    <row r="530" spans="2:2" x14ac:dyDescent="0.25">
      <c r="B530"/>
    </row>
    <row r="531" spans="2:2" x14ac:dyDescent="0.25">
      <c r="B531"/>
    </row>
    <row r="532" spans="2:2" x14ac:dyDescent="0.25">
      <c r="B532"/>
    </row>
    <row r="533" spans="2:2" x14ac:dyDescent="0.25">
      <c r="B533"/>
    </row>
    <row r="534" spans="2:2" x14ac:dyDescent="0.25">
      <c r="B534"/>
    </row>
    <row r="535" spans="2:2" x14ac:dyDescent="0.25">
      <c r="B535"/>
    </row>
    <row r="536" spans="2:2" x14ac:dyDescent="0.25">
      <c r="B536"/>
    </row>
    <row r="537" spans="2:2" x14ac:dyDescent="0.25">
      <c r="B537"/>
    </row>
    <row r="538" spans="2:2" x14ac:dyDescent="0.25">
      <c r="B538"/>
    </row>
    <row r="539" spans="2:2" x14ac:dyDescent="0.25">
      <c r="B539"/>
    </row>
    <row r="540" spans="2:2" x14ac:dyDescent="0.25">
      <c r="B540"/>
    </row>
    <row r="541" spans="2:2" x14ac:dyDescent="0.25">
      <c r="B541"/>
    </row>
    <row r="542" spans="2:2" x14ac:dyDescent="0.25">
      <c r="B542"/>
    </row>
    <row r="543" spans="2:2" x14ac:dyDescent="0.25">
      <c r="B543"/>
    </row>
    <row r="544" spans="2:2" x14ac:dyDescent="0.25">
      <c r="B544"/>
    </row>
    <row r="545" spans="2:2" x14ac:dyDescent="0.25">
      <c r="B545"/>
    </row>
    <row r="546" spans="2:2" x14ac:dyDescent="0.25">
      <c r="B546"/>
    </row>
    <row r="547" spans="2:2" x14ac:dyDescent="0.25">
      <c r="B547"/>
    </row>
    <row r="548" spans="2:2" x14ac:dyDescent="0.25">
      <c r="B548"/>
    </row>
    <row r="549" spans="2:2" x14ac:dyDescent="0.25">
      <c r="B549"/>
    </row>
    <row r="550" spans="2:2" x14ac:dyDescent="0.25">
      <c r="B550"/>
    </row>
    <row r="551" spans="2:2" x14ac:dyDescent="0.25">
      <c r="B551"/>
    </row>
    <row r="552" spans="2:2" x14ac:dyDescent="0.25">
      <c r="B552"/>
    </row>
    <row r="553" spans="2:2" x14ac:dyDescent="0.25">
      <c r="B553"/>
    </row>
    <row r="554" spans="2:2" x14ac:dyDescent="0.25">
      <c r="B554"/>
    </row>
    <row r="555" spans="2:2" x14ac:dyDescent="0.25">
      <c r="B555"/>
    </row>
    <row r="556" spans="2:2" x14ac:dyDescent="0.25">
      <c r="B556"/>
    </row>
    <row r="557" spans="2:2" x14ac:dyDescent="0.25">
      <c r="B557"/>
    </row>
    <row r="558" spans="2:2" x14ac:dyDescent="0.25">
      <c r="B558"/>
    </row>
    <row r="559" spans="2:2" x14ac:dyDescent="0.25">
      <c r="B559"/>
    </row>
    <row r="560" spans="2:2" x14ac:dyDescent="0.25">
      <c r="B560"/>
    </row>
    <row r="561" spans="2:2" x14ac:dyDescent="0.25">
      <c r="B561"/>
    </row>
    <row r="562" spans="2:2" x14ac:dyDescent="0.25">
      <c r="B562"/>
    </row>
    <row r="563" spans="2:2" x14ac:dyDescent="0.25">
      <c r="B563"/>
    </row>
    <row r="564" spans="2:2" x14ac:dyDescent="0.25">
      <c r="B564"/>
    </row>
    <row r="565" spans="2:2" x14ac:dyDescent="0.25">
      <c r="B565"/>
    </row>
    <row r="566" spans="2:2" x14ac:dyDescent="0.25">
      <c r="B566"/>
    </row>
    <row r="567" spans="2:2" x14ac:dyDescent="0.25">
      <c r="B567"/>
    </row>
    <row r="568" spans="2:2" x14ac:dyDescent="0.25">
      <c r="B568"/>
    </row>
    <row r="569" spans="2:2" x14ac:dyDescent="0.25">
      <c r="B569"/>
    </row>
    <row r="570" spans="2:2" x14ac:dyDescent="0.25">
      <c r="B570"/>
    </row>
    <row r="571" spans="2:2" x14ac:dyDescent="0.25">
      <c r="B571"/>
    </row>
    <row r="572" spans="2:2" x14ac:dyDescent="0.25">
      <c r="B572"/>
    </row>
    <row r="573" spans="2:2" x14ac:dyDescent="0.25">
      <c r="B573"/>
    </row>
    <row r="574" spans="2:2" x14ac:dyDescent="0.25">
      <c r="B574"/>
    </row>
    <row r="575" spans="2:2" x14ac:dyDescent="0.25">
      <c r="B575"/>
    </row>
    <row r="576" spans="2:2" x14ac:dyDescent="0.25">
      <c r="B576"/>
    </row>
    <row r="577" spans="2:2" x14ac:dyDescent="0.25">
      <c r="B577"/>
    </row>
    <row r="578" spans="2:2" x14ac:dyDescent="0.25">
      <c r="B578"/>
    </row>
    <row r="579" spans="2:2" x14ac:dyDescent="0.25">
      <c r="B579"/>
    </row>
    <row r="580" spans="2:2" x14ac:dyDescent="0.25">
      <c r="B580"/>
    </row>
    <row r="581" spans="2:2" x14ac:dyDescent="0.25">
      <c r="B581"/>
    </row>
    <row r="582" spans="2:2" x14ac:dyDescent="0.25">
      <c r="B582"/>
    </row>
    <row r="583" spans="2:2" x14ac:dyDescent="0.25">
      <c r="B583"/>
    </row>
    <row r="584" spans="2:2" x14ac:dyDescent="0.25">
      <c r="B584"/>
    </row>
    <row r="585" spans="2:2" x14ac:dyDescent="0.25">
      <c r="B585"/>
    </row>
    <row r="586" spans="2:2" x14ac:dyDescent="0.25">
      <c r="B586"/>
    </row>
    <row r="587" spans="2:2" x14ac:dyDescent="0.25">
      <c r="B587"/>
    </row>
    <row r="588" spans="2:2" x14ac:dyDescent="0.25">
      <c r="B588"/>
    </row>
    <row r="589" spans="2:2" x14ac:dyDescent="0.25">
      <c r="B589"/>
    </row>
    <row r="590" spans="2:2" x14ac:dyDescent="0.25">
      <c r="B590"/>
    </row>
    <row r="591" spans="2:2" x14ac:dyDescent="0.25">
      <c r="B591"/>
    </row>
    <row r="592" spans="2:2" x14ac:dyDescent="0.25">
      <c r="B592"/>
    </row>
    <row r="593" spans="2:2" x14ac:dyDescent="0.25">
      <c r="B593"/>
    </row>
    <row r="594" spans="2:2" x14ac:dyDescent="0.25">
      <c r="B594"/>
    </row>
    <row r="595" spans="2:2" x14ac:dyDescent="0.25">
      <c r="B595"/>
    </row>
    <row r="596" spans="2:2" x14ac:dyDescent="0.25">
      <c r="B596"/>
    </row>
    <row r="597" spans="2:2" x14ac:dyDescent="0.25">
      <c r="B597"/>
    </row>
    <row r="598" spans="2:2" x14ac:dyDescent="0.25">
      <c r="B598"/>
    </row>
    <row r="599" spans="2:2" x14ac:dyDescent="0.25">
      <c r="B599"/>
    </row>
    <row r="600" spans="2:2" x14ac:dyDescent="0.25">
      <c r="B600"/>
    </row>
    <row r="601" spans="2:2" x14ac:dyDescent="0.25">
      <c r="B601"/>
    </row>
    <row r="602" spans="2:2" x14ac:dyDescent="0.25">
      <c r="B602"/>
    </row>
    <row r="603" spans="2:2" x14ac:dyDescent="0.25">
      <c r="B603"/>
    </row>
    <row r="604" spans="2:2" x14ac:dyDescent="0.25">
      <c r="B604"/>
    </row>
    <row r="605" spans="2:2" x14ac:dyDescent="0.25">
      <c r="B605"/>
    </row>
    <row r="606" spans="2:2" x14ac:dyDescent="0.25">
      <c r="B606"/>
    </row>
    <row r="607" spans="2:2" x14ac:dyDescent="0.25">
      <c r="B607"/>
    </row>
    <row r="608" spans="2:2" x14ac:dyDescent="0.25">
      <c r="B608"/>
    </row>
    <row r="609" spans="2:2" x14ac:dyDescent="0.25">
      <c r="B609"/>
    </row>
    <row r="610" spans="2:2" x14ac:dyDescent="0.25">
      <c r="B610"/>
    </row>
    <row r="611" spans="2:2" x14ac:dyDescent="0.25">
      <c r="B611"/>
    </row>
    <row r="612" spans="2:2" x14ac:dyDescent="0.25">
      <c r="B612"/>
    </row>
    <row r="613" spans="2:2" x14ac:dyDescent="0.25">
      <c r="B613"/>
    </row>
    <row r="614" spans="2:2" x14ac:dyDescent="0.25">
      <c r="B614"/>
    </row>
    <row r="615" spans="2:2" x14ac:dyDescent="0.25">
      <c r="B615"/>
    </row>
    <row r="616" spans="2:2" x14ac:dyDescent="0.25">
      <c r="B616"/>
    </row>
    <row r="617" spans="2:2" x14ac:dyDescent="0.25">
      <c r="B617"/>
    </row>
    <row r="618" spans="2:2" x14ac:dyDescent="0.25">
      <c r="B618"/>
    </row>
    <row r="619" spans="2:2" x14ac:dyDescent="0.25">
      <c r="B619"/>
    </row>
    <row r="620" spans="2:2" x14ac:dyDescent="0.25">
      <c r="B620"/>
    </row>
    <row r="621" spans="2:2" x14ac:dyDescent="0.25">
      <c r="B621"/>
    </row>
    <row r="622" spans="2:2" x14ac:dyDescent="0.25">
      <c r="B622"/>
    </row>
    <row r="623" spans="2:2" x14ac:dyDescent="0.25">
      <c r="B623"/>
    </row>
    <row r="624" spans="2:2" x14ac:dyDescent="0.25">
      <c r="B624"/>
    </row>
    <row r="625" spans="2:2" x14ac:dyDescent="0.25">
      <c r="B625"/>
    </row>
    <row r="626" spans="2:2" x14ac:dyDescent="0.25">
      <c r="B626"/>
    </row>
    <row r="627" spans="2:2" x14ac:dyDescent="0.25">
      <c r="B627"/>
    </row>
    <row r="628" spans="2:2" x14ac:dyDescent="0.25">
      <c r="B628"/>
    </row>
    <row r="629" spans="2:2" x14ac:dyDescent="0.25">
      <c r="B629"/>
    </row>
    <row r="630" spans="2:2" x14ac:dyDescent="0.25">
      <c r="B630"/>
    </row>
    <row r="631" spans="2:2" x14ac:dyDescent="0.25">
      <c r="B631"/>
    </row>
    <row r="632" spans="2:2" x14ac:dyDescent="0.25">
      <c r="B632"/>
    </row>
    <row r="633" spans="2:2" x14ac:dyDescent="0.25">
      <c r="B633"/>
    </row>
    <row r="634" spans="2:2" x14ac:dyDescent="0.25">
      <c r="B634"/>
    </row>
    <row r="635" spans="2:2" x14ac:dyDescent="0.25">
      <c r="B635"/>
    </row>
    <row r="636" spans="2:2" x14ac:dyDescent="0.25">
      <c r="B636"/>
    </row>
    <row r="637" spans="2:2" x14ac:dyDescent="0.25">
      <c r="B637"/>
    </row>
    <row r="638" spans="2:2" x14ac:dyDescent="0.25">
      <c r="B638"/>
    </row>
    <row r="639" spans="2:2" x14ac:dyDescent="0.25">
      <c r="B639"/>
    </row>
    <row r="640" spans="2:2" x14ac:dyDescent="0.25">
      <c r="B640"/>
    </row>
    <row r="641" spans="2:2" x14ac:dyDescent="0.25">
      <c r="B641"/>
    </row>
    <row r="642" spans="2:2" x14ac:dyDescent="0.25">
      <c r="B642"/>
    </row>
    <row r="643" spans="2:2" x14ac:dyDescent="0.25">
      <c r="B643"/>
    </row>
    <row r="644" spans="2:2" x14ac:dyDescent="0.25">
      <c r="B644"/>
    </row>
    <row r="645" spans="2:2" x14ac:dyDescent="0.25">
      <c r="B645"/>
    </row>
    <row r="646" spans="2:2" x14ac:dyDescent="0.25">
      <c r="B646"/>
    </row>
    <row r="647" spans="2:2" x14ac:dyDescent="0.25">
      <c r="B647"/>
    </row>
    <row r="648" spans="2:2" x14ac:dyDescent="0.25">
      <c r="B648"/>
    </row>
    <row r="649" spans="2:2" x14ac:dyDescent="0.25">
      <c r="B649"/>
    </row>
    <row r="650" spans="2:2" x14ac:dyDescent="0.25">
      <c r="B650"/>
    </row>
    <row r="651" spans="2:2" x14ac:dyDescent="0.25">
      <c r="B651"/>
    </row>
    <row r="652" spans="2:2" x14ac:dyDescent="0.25">
      <c r="B652"/>
    </row>
    <row r="653" spans="2:2" x14ac:dyDescent="0.25">
      <c r="B653"/>
    </row>
    <row r="654" spans="2:2" x14ac:dyDescent="0.25">
      <c r="B654"/>
    </row>
    <row r="655" spans="2:2" x14ac:dyDescent="0.25">
      <c r="B655"/>
    </row>
    <row r="656" spans="2:2" x14ac:dyDescent="0.25">
      <c r="B656"/>
    </row>
    <row r="657" spans="2:2" x14ac:dyDescent="0.25">
      <c r="B657"/>
    </row>
    <row r="658" spans="2:2" x14ac:dyDescent="0.25">
      <c r="B658"/>
    </row>
    <row r="659" spans="2:2" x14ac:dyDescent="0.25">
      <c r="B659"/>
    </row>
    <row r="660" spans="2:2" x14ac:dyDescent="0.25">
      <c r="B660"/>
    </row>
    <row r="661" spans="2:2" x14ac:dyDescent="0.25">
      <c r="B661"/>
    </row>
    <row r="662" spans="2:2" x14ac:dyDescent="0.25">
      <c r="B662"/>
    </row>
    <row r="663" spans="2:2" x14ac:dyDescent="0.25">
      <c r="B663"/>
    </row>
    <row r="664" spans="2:2" x14ac:dyDescent="0.25">
      <c r="B664"/>
    </row>
    <row r="665" spans="2:2" x14ac:dyDescent="0.25">
      <c r="B665"/>
    </row>
    <row r="666" spans="2:2" x14ac:dyDescent="0.25">
      <c r="B666"/>
    </row>
    <row r="667" spans="2:2" x14ac:dyDescent="0.25">
      <c r="B667"/>
    </row>
    <row r="668" spans="2:2" x14ac:dyDescent="0.25">
      <c r="B668"/>
    </row>
    <row r="669" spans="2:2" x14ac:dyDescent="0.25">
      <c r="B669"/>
    </row>
    <row r="670" spans="2:2" x14ac:dyDescent="0.25">
      <c r="B670"/>
    </row>
    <row r="671" spans="2:2" x14ac:dyDescent="0.25">
      <c r="B671"/>
    </row>
    <row r="672" spans="2:2" x14ac:dyDescent="0.25">
      <c r="B672"/>
    </row>
    <row r="673" spans="2:2" x14ac:dyDescent="0.25">
      <c r="B673"/>
    </row>
    <row r="674" spans="2:2" x14ac:dyDescent="0.25">
      <c r="B674"/>
    </row>
    <row r="675" spans="2:2" x14ac:dyDescent="0.25">
      <c r="B675"/>
    </row>
    <row r="676" spans="2:2" x14ac:dyDescent="0.25">
      <c r="B676"/>
    </row>
    <row r="677" spans="2:2" x14ac:dyDescent="0.25">
      <c r="B677"/>
    </row>
    <row r="678" spans="2:2" x14ac:dyDescent="0.25">
      <c r="B678"/>
    </row>
    <row r="679" spans="2:2" x14ac:dyDescent="0.25">
      <c r="B679"/>
    </row>
    <row r="680" spans="2:2" x14ac:dyDescent="0.25">
      <c r="B680"/>
    </row>
    <row r="681" spans="2:2" x14ac:dyDescent="0.25">
      <c r="B681"/>
    </row>
    <row r="682" spans="2:2" x14ac:dyDescent="0.25">
      <c r="B682"/>
    </row>
    <row r="683" spans="2:2" x14ac:dyDescent="0.25">
      <c r="B683"/>
    </row>
    <row r="684" spans="2:2" x14ac:dyDescent="0.25">
      <c r="B684"/>
    </row>
    <row r="685" spans="2:2" x14ac:dyDescent="0.25">
      <c r="B685"/>
    </row>
    <row r="686" spans="2:2" x14ac:dyDescent="0.25">
      <c r="B686"/>
    </row>
    <row r="687" spans="2:2" x14ac:dyDescent="0.25">
      <c r="B687"/>
    </row>
    <row r="688" spans="2:2" x14ac:dyDescent="0.25">
      <c r="B688"/>
    </row>
    <row r="689" spans="2:2" x14ac:dyDescent="0.25">
      <c r="B689"/>
    </row>
    <row r="690" spans="2:2" x14ac:dyDescent="0.25">
      <c r="B690"/>
    </row>
    <row r="691" spans="2:2" x14ac:dyDescent="0.25">
      <c r="B691"/>
    </row>
    <row r="692" spans="2:2" x14ac:dyDescent="0.25">
      <c r="B692"/>
    </row>
    <row r="693" spans="2:2" x14ac:dyDescent="0.25">
      <c r="B693"/>
    </row>
    <row r="694" spans="2:2" x14ac:dyDescent="0.25">
      <c r="B694"/>
    </row>
    <row r="695" spans="2:2" x14ac:dyDescent="0.25">
      <c r="B695"/>
    </row>
    <row r="696" spans="2:2" x14ac:dyDescent="0.25">
      <c r="B696"/>
    </row>
    <row r="697" spans="2:2" x14ac:dyDescent="0.25">
      <c r="B697"/>
    </row>
    <row r="698" spans="2:2" x14ac:dyDescent="0.25">
      <c r="B698"/>
    </row>
    <row r="699" spans="2:2" x14ac:dyDescent="0.25">
      <c r="B699"/>
    </row>
    <row r="700" spans="2:2" x14ac:dyDescent="0.25">
      <c r="B700"/>
    </row>
    <row r="701" spans="2:2" x14ac:dyDescent="0.25">
      <c r="B701"/>
    </row>
    <row r="702" spans="2:2" x14ac:dyDescent="0.25">
      <c r="B702"/>
    </row>
    <row r="703" spans="2:2" x14ac:dyDescent="0.25">
      <c r="B703"/>
    </row>
    <row r="704" spans="2:2" x14ac:dyDescent="0.25">
      <c r="B704"/>
    </row>
    <row r="705" spans="2:2" x14ac:dyDescent="0.25">
      <c r="B705"/>
    </row>
    <row r="706" spans="2:2" x14ac:dyDescent="0.25">
      <c r="B706"/>
    </row>
    <row r="707" spans="2:2" x14ac:dyDescent="0.25">
      <c r="B707"/>
    </row>
    <row r="708" spans="2:2" x14ac:dyDescent="0.25">
      <c r="B708"/>
    </row>
    <row r="709" spans="2:2" x14ac:dyDescent="0.25">
      <c r="B709"/>
    </row>
    <row r="710" spans="2:2" x14ac:dyDescent="0.25">
      <c r="B710"/>
    </row>
    <row r="711" spans="2:2" x14ac:dyDescent="0.25">
      <c r="B711"/>
    </row>
    <row r="712" spans="2:2" x14ac:dyDescent="0.25">
      <c r="B712"/>
    </row>
    <row r="713" spans="2:2" x14ac:dyDescent="0.25">
      <c r="B713"/>
    </row>
    <row r="714" spans="2:2" x14ac:dyDescent="0.25">
      <c r="B714"/>
    </row>
    <row r="715" spans="2:2" x14ac:dyDescent="0.25">
      <c r="B715"/>
    </row>
    <row r="716" spans="2:2" x14ac:dyDescent="0.25">
      <c r="B716"/>
    </row>
    <row r="717" spans="2:2" x14ac:dyDescent="0.25">
      <c r="B717"/>
    </row>
    <row r="718" spans="2:2" x14ac:dyDescent="0.25">
      <c r="B718"/>
    </row>
    <row r="719" spans="2:2" x14ac:dyDescent="0.25">
      <c r="B719"/>
    </row>
    <row r="720" spans="2:2" x14ac:dyDescent="0.25">
      <c r="B720"/>
    </row>
    <row r="721" spans="2:2" x14ac:dyDescent="0.25">
      <c r="B721"/>
    </row>
    <row r="722" spans="2:2" x14ac:dyDescent="0.25">
      <c r="B722"/>
    </row>
    <row r="723" spans="2:2" x14ac:dyDescent="0.25">
      <c r="B723"/>
    </row>
    <row r="724" spans="2:2" x14ac:dyDescent="0.25">
      <c r="B724"/>
    </row>
    <row r="725" spans="2:2" x14ac:dyDescent="0.25">
      <c r="B725"/>
    </row>
    <row r="726" spans="2:2" x14ac:dyDescent="0.25">
      <c r="B726"/>
    </row>
    <row r="727" spans="2:2" x14ac:dyDescent="0.25">
      <c r="B727"/>
    </row>
    <row r="728" spans="2:2" x14ac:dyDescent="0.25">
      <c r="B728"/>
    </row>
    <row r="729" spans="2:2" x14ac:dyDescent="0.25">
      <c r="B729"/>
    </row>
    <row r="730" spans="2:2" x14ac:dyDescent="0.25">
      <c r="B730"/>
    </row>
    <row r="731" spans="2:2" x14ac:dyDescent="0.25">
      <c r="B731"/>
    </row>
    <row r="732" spans="2:2" x14ac:dyDescent="0.25">
      <c r="B732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</sheetData>
  <autoFilter ref="B4:J46" xr:uid="{C773C550-0573-400A-ABDA-B68BFC41A37B}">
    <sortState xmlns:xlrd2="http://schemas.microsoft.com/office/spreadsheetml/2017/richdata2" ref="B5:J46">
      <sortCondition ref="B4:B46"/>
    </sortState>
  </autoFilter>
  <pageMargins left="0.7" right="0.7" top="0.75" bottom="0.75" header="0.3" footer="0.3"/>
  <pageSetup scale="47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46AC-54E9-4992-9B70-9DEC62E498A8}">
  <sheetPr>
    <tabColor theme="9"/>
  </sheetPr>
  <dimension ref="A1"/>
  <sheetViews>
    <sheetView showGridLines="0" workbookViewId="0"/>
  </sheetViews>
  <sheetFormatPr defaultRowHeight="12.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D23B-A35E-403F-A8E9-78E8AA29F1BE}">
  <dimension ref="A1:K72"/>
  <sheetViews>
    <sheetView showGridLines="0" workbookViewId="0"/>
  </sheetViews>
  <sheetFormatPr defaultColWidth="11.81640625" defaultRowHeight="14.5" x14ac:dyDescent="0.35"/>
  <cols>
    <col min="1" max="1" width="7.81640625" style="15" customWidth="1"/>
    <col min="2" max="2" width="16.08984375" style="15" bestFit="1" customWidth="1"/>
    <col min="3" max="3" width="1.81640625" style="15" customWidth="1"/>
    <col min="4" max="4" width="12.90625" style="15" bestFit="1" customWidth="1"/>
    <col min="5" max="6" width="13.90625" style="15" bestFit="1" customWidth="1"/>
    <col min="7" max="8" width="12.1796875" style="15" bestFit="1" customWidth="1"/>
    <col min="9" max="16384" width="11.81640625" style="15"/>
  </cols>
  <sheetData>
    <row r="1" spans="1:11" x14ac:dyDescent="0.35">
      <c r="A1" s="15" t="s">
        <v>0</v>
      </c>
    </row>
    <row r="2" spans="1:11" x14ac:dyDescent="0.35">
      <c r="A2" s="15" t="s">
        <v>49</v>
      </c>
    </row>
    <row r="4" spans="1:11" x14ac:dyDescent="0.35">
      <c r="A4" s="15" t="s">
        <v>48</v>
      </c>
    </row>
    <row r="5" spans="1:11" x14ac:dyDescent="0.35">
      <c r="D5" s="25">
        <v>2021</v>
      </c>
      <c r="E5" s="25">
        <v>2022</v>
      </c>
      <c r="F5" s="25">
        <v>2023</v>
      </c>
      <c r="G5" s="25">
        <v>2024</v>
      </c>
      <c r="H5" s="25" t="s">
        <v>47</v>
      </c>
    </row>
    <row r="6" spans="1:11" x14ac:dyDescent="0.35">
      <c r="D6" s="24"/>
      <c r="E6" s="24"/>
      <c r="F6" s="24"/>
      <c r="G6" s="24"/>
      <c r="H6" s="24" t="s">
        <v>46</v>
      </c>
      <c r="I6" s="19"/>
      <c r="J6" s="19"/>
      <c r="K6" s="19"/>
    </row>
    <row r="7" spans="1:11" x14ac:dyDescent="0.35">
      <c r="A7" s="15" t="s">
        <v>45</v>
      </c>
      <c r="D7" s="23">
        <v>119984</v>
      </c>
      <c r="E7" s="23">
        <v>1556136</v>
      </c>
      <c r="F7" s="23">
        <v>1000851</v>
      </c>
      <c r="G7" s="23">
        <v>220635</v>
      </c>
      <c r="H7" s="23">
        <v>121987</v>
      </c>
      <c r="I7" s="19"/>
      <c r="J7" s="19"/>
      <c r="K7" s="19"/>
    </row>
    <row r="8" spans="1:11" x14ac:dyDescent="0.35">
      <c r="D8" s="19"/>
      <c r="E8" s="19"/>
      <c r="F8" s="19"/>
      <c r="G8" s="19"/>
      <c r="H8" s="19"/>
      <c r="I8" s="19"/>
      <c r="J8" s="19"/>
      <c r="K8" s="19"/>
    </row>
    <row r="9" spans="1:11" x14ac:dyDescent="0.35">
      <c r="A9" s="15" t="s">
        <v>44</v>
      </c>
      <c r="D9" s="19">
        <f>10500+59499</f>
        <v>69999</v>
      </c>
      <c r="E9" s="19">
        <f>11794+66834</f>
        <v>78628</v>
      </c>
      <c r="F9" s="19">
        <v>168273</v>
      </c>
      <c r="G9" s="19">
        <f>114510+20208</f>
        <v>134718</v>
      </c>
      <c r="H9" s="19">
        <v>17000</v>
      </c>
      <c r="I9" s="19"/>
      <c r="J9" s="19"/>
      <c r="K9" s="19"/>
    </row>
    <row r="10" spans="1:11" x14ac:dyDescent="0.35">
      <c r="A10" s="15" t="s">
        <v>43</v>
      </c>
      <c r="D10" s="19">
        <v>0</v>
      </c>
      <c r="E10" s="19">
        <v>0</v>
      </c>
      <c r="F10" s="19">
        <v>13668</v>
      </c>
      <c r="G10" s="19">
        <v>5890</v>
      </c>
      <c r="H10" s="19">
        <v>9986</v>
      </c>
      <c r="I10" s="19"/>
      <c r="J10" s="19"/>
      <c r="K10" s="19"/>
    </row>
    <row r="11" spans="1:11" x14ac:dyDescent="0.35">
      <c r="A11" s="15" t="s">
        <v>42</v>
      </c>
      <c r="D11" s="19">
        <v>25</v>
      </c>
      <c r="E11" s="19">
        <v>0</v>
      </c>
      <c r="F11" s="19">
        <v>30767</v>
      </c>
      <c r="G11" s="19">
        <v>80165</v>
      </c>
      <c r="H11" s="19">
        <v>0</v>
      </c>
      <c r="I11" s="19"/>
      <c r="J11" s="19"/>
      <c r="K11" s="19"/>
    </row>
    <row r="12" spans="1:11" x14ac:dyDescent="0.35">
      <c r="A12" s="15" t="s">
        <v>41</v>
      </c>
      <c r="D12" s="19">
        <v>-4611</v>
      </c>
      <c r="E12" s="19">
        <v>0</v>
      </c>
      <c r="F12" s="19">
        <v>0</v>
      </c>
      <c r="G12" s="19">
        <v>0</v>
      </c>
      <c r="H12" s="19">
        <v>0</v>
      </c>
      <c r="I12" s="19"/>
      <c r="J12" s="19"/>
      <c r="K12" s="19"/>
    </row>
    <row r="13" spans="1:11" x14ac:dyDescent="0.35">
      <c r="A13" s="15" t="s">
        <v>40</v>
      </c>
      <c r="D13" s="19">
        <v>-23926</v>
      </c>
      <c r="E13" s="19">
        <f>-19566-92360</f>
        <v>-111926</v>
      </c>
      <c r="F13" s="19">
        <v>-14523</v>
      </c>
      <c r="G13" s="19">
        <f>-17677+35311</f>
        <v>17634</v>
      </c>
      <c r="H13" s="19">
        <f>-41956-88475</f>
        <v>-130431</v>
      </c>
      <c r="I13" s="19"/>
      <c r="J13" s="19"/>
      <c r="K13" s="19"/>
    </row>
    <row r="14" spans="1:11" x14ac:dyDescent="0.35">
      <c r="D14" s="19"/>
      <c r="E14" s="19"/>
      <c r="F14" s="19"/>
      <c r="G14" s="19"/>
      <c r="H14" s="19"/>
      <c r="I14" s="19"/>
      <c r="J14" s="19"/>
      <c r="K14" s="19"/>
    </row>
    <row r="15" spans="1:11" ht="15" thickBot="1" x14ac:dyDescent="0.4">
      <c r="B15" s="15" t="s">
        <v>39</v>
      </c>
      <c r="D15" s="22">
        <f>SUM(D7:D14)</f>
        <v>161471</v>
      </c>
      <c r="E15" s="22">
        <f>SUM(E7:E14)</f>
        <v>1522838</v>
      </c>
      <c r="F15" s="22">
        <f>SUM(F7:F14)</f>
        <v>1199036</v>
      </c>
      <c r="G15" s="22">
        <f>SUM(G7:G14)</f>
        <v>459042</v>
      </c>
      <c r="H15" s="22">
        <f>SUM(H7:H14)</f>
        <v>18542</v>
      </c>
      <c r="I15" s="19"/>
      <c r="J15" s="19"/>
      <c r="K15" s="19"/>
    </row>
    <row r="16" spans="1:11" x14ac:dyDescent="0.35">
      <c r="D16" s="19"/>
      <c r="E16" s="19"/>
      <c r="F16" s="19"/>
      <c r="G16" s="19"/>
      <c r="H16" s="19"/>
      <c r="I16" s="19"/>
      <c r="J16" s="19"/>
      <c r="K16" s="19"/>
    </row>
    <row r="17" spans="1:11" x14ac:dyDescent="0.35">
      <c r="A17" s="15" t="s">
        <v>38</v>
      </c>
      <c r="D17" s="19"/>
      <c r="E17" s="19"/>
      <c r="F17" s="19"/>
      <c r="G17" s="19"/>
      <c r="H17" s="19"/>
      <c r="I17" s="19"/>
      <c r="J17" s="19"/>
      <c r="K17" s="19"/>
    </row>
    <row r="18" spans="1:11" x14ac:dyDescent="0.35">
      <c r="B18" s="15" t="s">
        <v>37</v>
      </c>
      <c r="D18" s="19">
        <v>355769</v>
      </c>
      <c r="E18" s="19">
        <v>364361</v>
      </c>
      <c r="F18" s="19">
        <v>171000</v>
      </c>
      <c r="G18" s="19">
        <v>100000</v>
      </c>
      <c r="H18" s="19">
        <v>75000</v>
      </c>
      <c r="I18" s="19"/>
      <c r="J18" s="19"/>
      <c r="K18" s="19"/>
    </row>
    <row r="19" spans="1:11" x14ac:dyDescent="0.35">
      <c r="B19" s="15" t="s">
        <v>36</v>
      </c>
      <c r="D19" s="19">
        <v>180693</v>
      </c>
      <c r="E19" s="19">
        <v>180000</v>
      </c>
      <c r="F19" s="19">
        <v>224000</v>
      </c>
      <c r="G19" s="19">
        <v>240000</v>
      </c>
      <c r="H19" s="19">
        <v>178846</v>
      </c>
      <c r="I19" s="19"/>
      <c r="J19" s="19"/>
      <c r="K19" s="19"/>
    </row>
    <row r="20" spans="1:11" x14ac:dyDescent="0.35">
      <c r="B20" s="21" t="s">
        <v>35</v>
      </c>
      <c r="D20" s="19">
        <v>15000</v>
      </c>
      <c r="E20" s="19">
        <v>0</v>
      </c>
      <c r="F20" s="19">
        <v>0</v>
      </c>
      <c r="G20" s="19">
        <v>0</v>
      </c>
      <c r="H20" s="19">
        <v>0</v>
      </c>
      <c r="I20" s="19"/>
      <c r="J20" s="19"/>
      <c r="K20" s="19"/>
    </row>
    <row r="21" spans="1:11" x14ac:dyDescent="0.35">
      <c r="B21" s="21" t="s">
        <v>34</v>
      </c>
      <c r="D21" s="19">
        <f>+'Prof Fees'!C8</f>
        <v>10580</v>
      </c>
      <c r="E21" s="19">
        <f>+'Prof Fees'!C20</f>
        <v>28054</v>
      </c>
      <c r="F21" s="19">
        <f>+'Prof Fees'!C35</f>
        <v>31288</v>
      </c>
      <c r="G21" s="19">
        <f>+'Prof Fees'!C44</f>
        <v>53880</v>
      </c>
      <c r="H21" s="19">
        <f>+'Prof Fees'!C56</f>
        <v>86402</v>
      </c>
      <c r="I21" s="19"/>
      <c r="J21" s="19"/>
      <c r="K21" s="19"/>
    </row>
    <row r="22" spans="1:11" x14ac:dyDescent="0.35">
      <c r="B22" s="21" t="s">
        <v>33</v>
      </c>
      <c r="D22" s="19">
        <v>0</v>
      </c>
      <c r="E22" s="19">
        <f>+'Prof Fees'!G20</f>
        <v>37000</v>
      </c>
      <c r="F22" s="19">
        <f>+'Prof Fees'!G35</f>
        <v>45000</v>
      </c>
      <c r="G22" s="19">
        <v>0</v>
      </c>
      <c r="H22" s="19">
        <v>0</v>
      </c>
      <c r="I22" s="19"/>
      <c r="J22" s="19"/>
      <c r="K22" s="19"/>
    </row>
    <row r="23" spans="1:11" x14ac:dyDescent="0.35">
      <c r="B23" s="21" t="s">
        <v>32</v>
      </c>
      <c r="D23" s="19">
        <v>0</v>
      </c>
      <c r="E23" s="19">
        <v>0</v>
      </c>
      <c r="F23" s="19">
        <v>0</v>
      </c>
      <c r="G23" s="19">
        <f>-H23</f>
        <v>-265500</v>
      </c>
      <c r="H23" s="19">
        <v>265500</v>
      </c>
      <c r="I23" s="19"/>
      <c r="J23" s="19"/>
      <c r="K23" s="19"/>
    </row>
    <row r="24" spans="1:11" x14ac:dyDescent="0.35">
      <c r="B24" s="21" t="s">
        <v>31</v>
      </c>
      <c r="D24" s="19">
        <v>40000</v>
      </c>
      <c r="E24" s="19">
        <v>40000</v>
      </c>
      <c r="F24" s="19">
        <v>40000</v>
      </c>
      <c r="G24" s="19">
        <v>40000</v>
      </c>
      <c r="H24" s="19">
        <v>40000</v>
      </c>
      <c r="I24" s="19"/>
      <c r="J24" s="19"/>
      <c r="K24" s="19"/>
    </row>
    <row r="25" spans="1:11" ht="15" thickBot="1" x14ac:dyDescent="0.4">
      <c r="B25" s="21" t="s">
        <v>30</v>
      </c>
      <c r="D25" s="22">
        <f>SUM(D18:D24)</f>
        <v>602042</v>
      </c>
      <c r="E25" s="22">
        <f>SUM(E18:E24)</f>
        <v>649415</v>
      </c>
      <c r="F25" s="22">
        <f>SUM(F18:F24)</f>
        <v>511288</v>
      </c>
      <c r="G25" s="22">
        <f>SUM(G18:G24)</f>
        <v>168380</v>
      </c>
      <c r="H25" s="22">
        <f>SUM(H18:H24)</f>
        <v>645748</v>
      </c>
      <c r="I25" s="19"/>
      <c r="J25" s="19"/>
      <c r="K25" s="19"/>
    </row>
    <row r="26" spans="1:11" x14ac:dyDescent="0.35">
      <c r="D26" s="19"/>
      <c r="E26" s="19"/>
      <c r="F26" s="19"/>
      <c r="G26" s="19"/>
      <c r="H26" s="19"/>
      <c r="I26" s="19"/>
      <c r="J26" s="19"/>
      <c r="K26" s="19"/>
    </row>
    <row r="27" spans="1:11" ht="15" thickBot="1" x14ac:dyDescent="0.4">
      <c r="B27" s="21" t="s">
        <v>29</v>
      </c>
      <c r="D27" s="20">
        <f>+D15+D25</f>
        <v>763513</v>
      </c>
      <c r="E27" s="20">
        <f>+E15+E25</f>
        <v>2172253</v>
      </c>
      <c r="F27" s="20">
        <f>+F15+F25</f>
        <v>1710324</v>
      </c>
      <c r="G27" s="20">
        <f>+G15+G25</f>
        <v>627422</v>
      </c>
      <c r="H27" s="20">
        <f>+H15+H25</f>
        <v>664290</v>
      </c>
      <c r="I27" s="19"/>
      <c r="J27" s="19"/>
      <c r="K27" s="19"/>
    </row>
    <row r="28" spans="1:11" ht="15" thickTop="1" x14ac:dyDescent="0.35">
      <c r="D28" s="19"/>
      <c r="E28" s="19"/>
      <c r="F28" s="19"/>
      <c r="G28" s="19"/>
      <c r="H28" s="19"/>
      <c r="I28" s="19"/>
      <c r="J28" s="19"/>
      <c r="K28" s="19"/>
    </row>
    <row r="29" spans="1:11" x14ac:dyDescent="0.35">
      <c r="D29" s="19"/>
      <c r="E29" s="19"/>
      <c r="F29" s="19"/>
      <c r="G29" s="19"/>
      <c r="H29" s="19"/>
      <c r="I29" s="19"/>
      <c r="J29" s="19"/>
      <c r="K29" s="19"/>
    </row>
    <row r="30" spans="1:11" x14ac:dyDescent="0.35">
      <c r="D30" s="19"/>
      <c r="E30" s="19"/>
      <c r="F30" s="19"/>
      <c r="G30" s="19"/>
      <c r="H30" s="19"/>
      <c r="I30" s="19"/>
      <c r="J30" s="19"/>
      <c r="K30" s="19"/>
    </row>
    <row r="31" spans="1:11" x14ac:dyDescent="0.35">
      <c r="D31" s="19"/>
      <c r="E31" s="19"/>
      <c r="F31" s="19"/>
      <c r="G31" s="19"/>
      <c r="H31" s="19"/>
      <c r="I31" s="19"/>
      <c r="J31" s="19"/>
      <c r="K31" s="19"/>
    </row>
    <row r="32" spans="1:11" x14ac:dyDescent="0.35">
      <c r="D32" s="19"/>
      <c r="E32" s="19"/>
      <c r="F32" s="19"/>
      <c r="G32" s="19"/>
      <c r="H32" s="19"/>
      <c r="I32" s="19"/>
      <c r="J32" s="19"/>
      <c r="K32" s="19"/>
    </row>
    <row r="33" spans="4:11" x14ac:dyDescent="0.35">
      <c r="D33" s="19"/>
      <c r="E33" s="19"/>
      <c r="F33" s="19"/>
      <c r="G33" s="19"/>
      <c r="H33" s="19"/>
      <c r="I33" s="19"/>
      <c r="J33" s="19"/>
      <c r="K33" s="19"/>
    </row>
    <row r="34" spans="4:11" x14ac:dyDescent="0.35">
      <c r="D34" s="19"/>
      <c r="E34" s="19"/>
      <c r="F34" s="19"/>
      <c r="G34" s="19"/>
      <c r="H34" s="19"/>
      <c r="I34" s="19"/>
      <c r="J34" s="19"/>
      <c r="K34" s="19"/>
    </row>
    <row r="35" spans="4:11" x14ac:dyDescent="0.35">
      <c r="D35" s="19"/>
      <c r="E35" s="19"/>
      <c r="F35" s="19"/>
      <c r="G35" s="19"/>
      <c r="H35" s="19"/>
      <c r="I35" s="19"/>
      <c r="J35" s="19"/>
      <c r="K35" s="19"/>
    </row>
    <row r="36" spans="4:11" x14ac:dyDescent="0.35">
      <c r="D36" s="19"/>
      <c r="E36" s="19"/>
      <c r="F36" s="19"/>
      <c r="G36" s="19"/>
      <c r="H36" s="19"/>
      <c r="I36" s="19"/>
      <c r="J36" s="19"/>
      <c r="K36" s="19"/>
    </row>
    <row r="37" spans="4:11" x14ac:dyDescent="0.35">
      <c r="D37" s="19"/>
      <c r="E37" s="19"/>
      <c r="F37" s="19"/>
      <c r="G37" s="19"/>
      <c r="H37" s="19"/>
      <c r="I37" s="19"/>
      <c r="J37" s="19"/>
      <c r="K37" s="19"/>
    </row>
    <row r="38" spans="4:11" x14ac:dyDescent="0.35">
      <c r="D38" s="19"/>
      <c r="E38" s="19"/>
      <c r="F38" s="19"/>
      <c r="G38" s="19"/>
      <c r="H38" s="19"/>
      <c r="I38" s="19"/>
      <c r="J38" s="19"/>
      <c r="K38" s="19"/>
    </row>
    <row r="39" spans="4:11" x14ac:dyDescent="0.35">
      <c r="D39" s="19"/>
      <c r="E39" s="19"/>
      <c r="F39" s="19"/>
      <c r="G39" s="19"/>
      <c r="H39" s="19"/>
      <c r="I39" s="19"/>
      <c r="J39" s="19"/>
      <c r="K39" s="19"/>
    </row>
    <row r="40" spans="4:11" x14ac:dyDescent="0.35">
      <c r="D40" s="19"/>
      <c r="E40" s="19"/>
      <c r="F40" s="19"/>
      <c r="G40" s="19"/>
      <c r="H40" s="19"/>
      <c r="I40" s="19"/>
      <c r="J40" s="19"/>
      <c r="K40" s="19"/>
    </row>
    <row r="41" spans="4:11" x14ac:dyDescent="0.35">
      <c r="D41" s="19"/>
      <c r="E41" s="19"/>
      <c r="F41" s="19"/>
      <c r="G41" s="19"/>
      <c r="H41" s="19"/>
      <c r="I41" s="19"/>
      <c r="J41" s="19"/>
      <c r="K41" s="19"/>
    </row>
    <row r="42" spans="4:11" x14ac:dyDescent="0.35">
      <c r="D42" s="19"/>
      <c r="E42" s="19"/>
      <c r="F42" s="19"/>
      <c r="G42" s="19"/>
      <c r="H42" s="19"/>
      <c r="I42" s="19"/>
      <c r="J42" s="19"/>
      <c r="K42" s="19"/>
    </row>
    <row r="43" spans="4:11" x14ac:dyDescent="0.35">
      <c r="D43" s="19"/>
      <c r="E43" s="19"/>
      <c r="F43" s="19"/>
      <c r="G43" s="19"/>
      <c r="H43" s="19"/>
      <c r="I43" s="19"/>
      <c r="J43" s="19"/>
      <c r="K43" s="19"/>
    </row>
    <row r="44" spans="4:11" x14ac:dyDescent="0.35">
      <c r="D44" s="19"/>
      <c r="E44" s="19"/>
      <c r="F44" s="19"/>
      <c r="G44" s="19"/>
      <c r="H44" s="19"/>
      <c r="I44" s="19"/>
      <c r="J44" s="19"/>
      <c r="K44" s="19"/>
    </row>
    <row r="45" spans="4:11" x14ac:dyDescent="0.35">
      <c r="D45" s="19"/>
      <c r="E45" s="19"/>
      <c r="F45" s="19"/>
      <c r="G45" s="19"/>
      <c r="H45" s="19"/>
      <c r="I45" s="19"/>
      <c r="J45" s="19"/>
      <c r="K45" s="19"/>
    </row>
    <row r="46" spans="4:11" x14ac:dyDescent="0.35">
      <c r="D46" s="19"/>
      <c r="E46" s="19"/>
      <c r="F46" s="19"/>
      <c r="G46" s="19"/>
      <c r="H46" s="19"/>
      <c r="I46" s="19"/>
      <c r="J46" s="19"/>
      <c r="K46" s="19"/>
    </row>
    <row r="47" spans="4:11" x14ac:dyDescent="0.35">
      <c r="D47" s="19"/>
      <c r="E47" s="19"/>
      <c r="F47" s="19"/>
      <c r="G47" s="19"/>
      <c r="H47" s="19"/>
      <c r="I47" s="19"/>
      <c r="J47" s="19"/>
      <c r="K47" s="19"/>
    </row>
    <row r="48" spans="4:11" x14ac:dyDescent="0.35">
      <c r="D48" s="19"/>
      <c r="E48" s="19"/>
      <c r="F48" s="19"/>
      <c r="G48" s="19"/>
      <c r="H48" s="19"/>
      <c r="I48" s="19"/>
      <c r="J48" s="19"/>
      <c r="K48" s="19"/>
    </row>
    <row r="49" spans="4:11" x14ac:dyDescent="0.35">
      <c r="D49" s="19"/>
      <c r="E49" s="19"/>
      <c r="F49" s="19"/>
      <c r="G49" s="19"/>
      <c r="H49" s="19"/>
      <c r="I49" s="19"/>
      <c r="J49" s="19"/>
      <c r="K49" s="19"/>
    </row>
    <row r="50" spans="4:11" x14ac:dyDescent="0.35">
      <c r="D50" s="19"/>
      <c r="E50" s="19"/>
      <c r="F50" s="19"/>
      <c r="G50" s="19"/>
      <c r="H50" s="19"/>
      <c r="I50" s="19"/>
      <c r="J50" s="19"/>
      <c r="K50" s="19"/>
    </row>
    <row r="51" spans="4:11" x14ac:dyDescent="0.35">
      <c r="D51" s="19"/>
      <c r="E51" s="19"/>
      <c r="F51" s="19"/>
      <c r="G51" s="19"/>
      <c r="H51" s="19"/>
      <c r="I51" s="19"/>
      <c r="J51" s="19"/>
      <c r="K51" s="19"/>
    </row>
    <row r="52" spans="4:11" x14ac:dyDescent="0.35">
      <c r="D52" s="19"/>
      <c r="E52" s="19"/>
      <c r="F52" s="19"/>
      <c r="G52" s="19"/>
      <c r="H52" s="19"/>
      <c r="I52" s="19"/>
      <c r="J52" s="19"/>
      <c r="K52" s="19"/>
    </row>
    <row r="53" spans="4:11" x14ac:dyDescent="0.35">
      <c r="D53" s="19"/>
      <c r="E53" s="19"/>
      <c r="F53" s="19"/>
      <c r="G53" s="19"/>
      <c r="H53" s="19"/>
      <c r="I53" s="19"/>
      <c r="J53" s="19"/>
      <c r="K53" s="19"/>
    </row>
    <row r="54" spans="4:11" x14ac:dyDescent="0.35">
      <c r="D54" s="19"/>
      <c r="E54" s="19"/>
      <c r="F54" s="19"/>
      <c r="G54" s="19"/>
      <c r="H54" s="19"/>
      <c r="I54" s="19"/>
      <c r="J54" s="19"/>
      <c r="K54" s="19"/>
    </row>
    <row r="55" spans="4:11" x14ac:dyDescent="0.35">
      <c r="D55" s="19"/>
      <c r="E55" s="19"/>
      <c r="F55" s="19"/>
      <c r="G55" s="19"/>
      <c r="H55" s="19"/>
      <c r="I55" s="19"/>
      <c r="J55" s="19"/>
      <c r="K55" s="19"/>
    </row>
    <row r="56" spans="4:11" x14ac:dyDescent="0.35">
      <c r="D56" s="19"/>
      <c r="E56" s="19"/>
      <c r="F56" s="19"/>
      <c r="G56" s="19"/>
      <c r="H56" s="19"/>
      <c r="I56" s="19"/>
      <c r="J56" s="19"/>
      <c r="K56" s="19"/>
    </row>
    <row r="57" spans="4:11" x14ac:dyDescent="0.35">
      <c r="D57" s="19"/>
      <c r="E57" s="19"/>
      <c r="F57" s="19"/>
      <c r="G57" s="19"/>
      <c r="H57" s="19"/>
      <c r="I57" s="19"/>
      <c r="J57" s="19"/>
      <c r="K57" s="19"/>
    </row>
    <row r="58" spans="4:11" x14ac:dyDescent="0.35">
      <c r="D58" s="19"/>
      <c r="E58" s="19"/>
      <c r="F58" s="19"/>
      <c r="G58" s="19"/>
      <c r="H58" s="19"/>
      <c r="I58" s="19"/>
      <c r="J58" s="19"/>
      <c r="K58" s="19"/>
    </row>
    <row r="59" spans="4:11" x14ac:dyDescent="0.35">
      <c r="D59" s="19"/>
      <c r="E59" s="19"/>
      <c r="F59" s="19"/>
      <c r="G59" s="19"/>
      <c r="H59" s="19"/>
      <c r="I59" s="19"/>
      <c r="J59" s="19"/>
      <c r="K59" s="19"/>
    </row>
    <row r="60" spans="4:11" x14ac:dyDescent="0.35">
      <c r="D60" s="19"/>
      <c r="E60" s="19"/>
      <c r="F60" s="19"/>
      <c r="G60" s="19"/>
      <c r="H60" s="19"/>
      <c r="I60" s="19"/>
      <c r="J60" s="19"/>
      <c r="K60" s="19"/>
    </row>
    <row r="61" spans="4:11" x14ac:dyDescent="0.35">
      <c r="D61" s="19"/>
      <c r="E61" s="19"/>
      <c r="F61" s="19"/>
      <c r="G61" s="19"/>
      <c r="H61" s="19"/>
      <c r="I61" s="19"/>
      <c r="J61" s="19"/>
      <c r="K61" s="19"/>
    </row>
    <row r="62" spans="4:11" x14ac:dyDescent="0.35">
      <c r="D62" s="19"/>
      <c r="E62" s="19"/>
      <c r="F62" s="19"/>
      <c r="G62" s="19"/>
      <c r="H62" s="19"/>
      <c r="I62" s="19"/>
      <c r="J62" s="19"/>
      <c r="K62" s="19"/>
    </row>
    <row r="63" spans="4:11" x14ac:dyDescent="0.35">
      <c r="D63" s="19"/>
      <c r="E63" s="19"/>
      <c r="F63" s="19"/>
      <c r="G63" s="19"/>
      <c r="H63" s="19"/>
      <c r="I63" s="19"/>
      <c r="J63" s="19"/>
      <c r="K63" s="19"/>
    </row>
    <row r="64" spans="4:11" x14ac:dyDescent="0.35">
      <c r="D64" s="19"/>
      <c r="E64" s="19"/>
      <c r="F64" s="19"/>
      <c r="G64" s="19"/>
      <c r="H64" s="19"/>
      <c r="I64" s="19"/>
      <c r="J64" s="19"/>
      <c r="K64" s="19"/>
    </row>
    <row r="65" spans="4:11" x14ac:dyDescent="0.35">
      <c r="D65" s="19"/>
      <c r="E65" s="19"/>
      <c r="F65" s="19"/>
      <c r="G65" s="19"/>
      <c r="H65" s="19"/>
      <c r="I65" s="19"/>
      <c r="J65" s="19"/>
      <c r="K65" s="19"/>
    </row>
    <row r="66" spans="4:11" x14ac:dyDescent="0.35">
      <c r="D66" s="19"/>
      <c r="E66" s="19"/>
      <c r="F66" s="19"/>
      <c r="G66" s="19"/>
      <c r="H66" s="19"/>
      <c r="I66" s="19"/>
      <c r="J66" s="19"/>
      <c r="K66" s="19"/>
    </row>
    <row r="67" spans="4:11" x14ac:dyDescent="0.35">
      <c r="D67" s="19"/>
      <c r="E67" s="19"/>
      <c r="F67" s="19"/>
      <c r="G67" s="19"/>
      <c r="H67" s="19"/>
      <c r="I67" s="19"/>
      <c r="J67" s="19"/>
      <c r="K67" s="19"/>
    </row>
    <row r="68" spans="4:11" x14ac:dyDescent="0.35">
      <c r="D68" s="19"/>
      <c r="E68" s="19"/>
      <c r="F68" s="19"/>
      <c r="G68" s="19"/>
      <c r="H68" s="19"/>
      <c r="I68" s="19"/>
      <c r="J68" s="19"/>
      <c r="K68" s="19"/>
    </row>
    <row r="69" spans="4:11" x14ac:dyDescent="0.35">
      <c r="D69" s="19"/>
      <c r="E69" s="19"/>
      <c r="F69" s="19"/>
      <c r="G69" s="19"/>
      <c r="H69" s="19"/>
      <c r="I69" s="19"/>
      <c r="J69" s="19"/>
      <c r="K69" s="19"/>
    </row>
    <row r="70" spans="4:11" x14ac:dyDescent="0.35">
      <c r="D70" s="19"/>
      <c r="E70" s="19"/>
      <c r="F70" s="19"/>
      <c r="G70" s="19"/>
      <c r="H70" s="19"/>
      <c r="I70" s="19"/>
      <c r="J70" s="19"/>
      <c r="K70" s="19"/>
    </row>
    <row r="71" spans="4:11" x14ac:dyDescent="0.35">
      <c r="D71" s="19"/>
      <c r="E71" s="19"/>
      <c r="F71" s="19"/>
      <c r="G71" s="19"/>
      <c r="H71" s="19"/>
      <c r="I71" s="19"/>
      <c r="J71" s="19"/>
      <c r="K71" s="19"/>
    </row>
    <row r="72" spans="4:11" x14ac:dyDescent="0.35">
      <c r="D72" s="19"/>
      <c r="E72" s="19"/>
      <c r="F72" s="19"/>
      <c r="G72" s="19"/>
      <c r="H72" s="19"/>
      <c r="I72" s="19"/>
      <c r="J72" s="19"/>
      <c r="K72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86F1-525A-419F-8114-B7B2A7D4E221}">
  <dimension ref="A1:G105"/>
  <sheetViews>
    <sheetView showGridLines="0" workbookViewId="0"/>
  </sheetViews>
  <sheetFormatPr defaultColWidth="11.81640625" defaultRowHeight="14.5" x14ac:dyDescent="0.35"/>
  <cols>
    <col min="1" max="1" width="11.81640625" style="15"/>
    <col min="2" max="2" width="14" style="15" bestFit="1" customWidth="1"/>
    <col min="3" max="3" width="11.81640625" style="15"/>
    <col min="4" max="4" width="1.81640625" style="15" customWidth="1"/>
    <col min="5" max="16384" width="11.81640625" style="15"/>
  </cols>
  <sheetData>
    <row r="1" spans="1:7" x14ac:dyDescent="0.35">
      <c r="A1" s="15" t="s">
        <v>28</v>
      </c>
    </row>
    <row r="2" spans="1:7" x14ac:dyDescent="0.35">
      <c r="A2" s="15" t="s">
        <v>27</v>
      </c>
    </row>
    <row r="4" spans="1:7" x14ac:dyDescent="0.35">
      <c r="A4" s="15" t="s">
        <v>4</v>
      </c>
      <c r="B4" s="15" t="s">
        <v>26</v>
      </c>
      <c r="C4" s="15" t="s">
        <v>25</v>
      </c>
    </row>
    <row r="5" spans="1:7" x14ac:dyDescent="0.35">
      <c r="A5" s="18">
        <v>44561</v>
      </c>
      <c r="B5" s="15" t="s">
        <v>19</v>
      </c>
      <c r="C5" s="16">
        <v>9480</v>
      </c>
    </row>
    <row r="6" spans="1:7" x14ac:dyDescent="0.35">
      <c r="A6" s="18">
        <v>44408</v>
      </c>
      <c r="B6" s="15" t="s">
        <v>24</v>
      </c>
      <c r="C6" s="16">
        <v>1100</v>
      </c>
    </row>
    <row r="7" spans="1:7" x14ac:dyDescent="0.35">
      <c r="C7" s="16"/>
    </row>
    <row r="8" spans="1:7" ht="15" thickBot="1" x14ac:dyDescent="0.4">
      <c r="C8" s="17">
        <f>SUM(C5:C7)</f>
        <v>10580</v>
      </c>
    </row>
    <row r="9" spans="1:7" ht="15" thickTop="1" x14ac:dyDescent="0.35">
      <c r="C9" s="16"/>
    </row>
    <row r="10" spans="1:7" x14ac:dyDescent="0.35">
      <c r="A10" s="18">
        <v>44798</v>
      </c>
      <c r="B10" s="15" t="s">
        <v>19</v>
      </c>
      <c r="C10" s="16">
        <v>11414</v>
      </c>
      <c r="E10" s="18">
        <v>44726</v>
      </c>
      <c r="F10" s="15" t="s">
        <v>22</v>
      </c>
      <c r="G10" s="16">
        <v>9000</v>
      </c>
    </row>
    <row r="11" spans="1:7" x14ac:dyDescent="0.35">
      <c r="A11" s="18">
        <v>44706</v>
      </c>
      <c r="B11" s="15" t="s">
        <v>23</v>
      </c>
      <c r="C11" s="16">
        <v>1920</v>
      </c>
      <c r="E11" s="18">
        <v>44754</v>
      </c>
      <c r="F11" s="15" t="s">
        <v>22</v>
      </c>
      <c r="G11" s="16">
        <v>4000</v>
      </c>
    </row>
    <row r="12" spans="1:7" x14ac:dyDescent="0.35">
      <c r="A12" s="18">
        <v>44741</v>
      </c>
      <c r="B12" s="15" t="s">
        <v>23</v>
      </c>
      <c r="C12" s="16">
        <v>2560</v>
      </c>
      <c r="E12" s="18">
        <v>44764</v>
      </c>
      <c r="F12" s="15" t="s">
        <v>22</v>
      </c>
      <c r="G12" s="16">
        <v>4000</v>
      </c>
    </row>
    <row r="13" spans="1:7" x14ac:dyDescent="0.35">
      <c r="A13" s="18">
        <v>44771</v>
      </c>
      <c r="B13" s="15" t="s">
        <v>23</v>
      </c>
      <c r="C13" s="16">
        <v>1920</v>
      </c>
      <c r="E13" s="18">
        <v>44797</v>
      </c>
      <c r="F13" s="15" t="s">
        <v>22</v>
      </c>
      <c r="G13" s="16">
        <v>4000</v>
      </c>
    </row>
    <row r="14" spans="1:7" x14ac:dyDescent="0.35">
      <c r="A14" s="18">
        <v>44811</v>
      </c>
      <c r="B14" s="15" t="s">
        <v>23</v>
      </c>
      <c r="C14" s="16">
        <v>3200</v>
      </c>
      <c r="E14" s="18">
        <v>44826</v>
      </c>
      <c r="F14" s="15" t="s">
        <v>22</v>
      </c>
      <c r="G14" s="16">
        <v>4000</v>
      </c>
    </row>
    <row r="15" spans="1:7" x14ac:dyDescent="0.35">
      <c r="A15" s="18">
        <v>44837</v>
      </c>
      <c r="B15" s="15" t="s">
        <v>23</v>
      </c>
      <c r="C15" s="16">
        <v>1920</v>
      </c>
      <c r="E15" s="18">
        <v>44859</v>
      </c>
      <c r="F15" s="15" t="s">
        <v>22</v>
      </c>
      <c r="G15" s="16">
        <v>4000</v>
      </c>
    </row>
    <row r="16" spans="1:7" x14ac:dyDescent="0.35">
      <c r="A16" s="18">
        <v>44861</v>
      </c>
      <c r="B16" s="15" t="s">
        <v>23</v>
      </c>
      <c r="C16" s="16">
        <v>2560</v>
      </c>
      <c r="E16" s="18">
        <v>44883</v>
      </c>
      <c r="F16" s="15" t="s">
        <v>22</v>
      </c>
      <c r="G16" s="16">
        <v>4000</v>
      </c>
    </row>
    <row r="17" spans="1:7" x14ac:dyDescent="0.35">
      <c r="A17" s="18">
        <v>44896</v>
      </c>
      <c r="B17" s="15" t="s">
        <v>23</v>
      </c>
      <c r="C17" s="16">
        <v>1920</v>
      </c>
      <c r="E17" s="18">
        <v>44900</v>
      </c>
      <c r="F17" s="15" t="s">
        <v>22</v>
      </c>
      <c r="G17" s="16">
        <v>4000</v>
      </c>
    </row>
    <row r="18" spans="1:7" x14ac:dyDescent="0.35">
      <c r="A18" s="18">
        <v>44914</v>
      </c>
      <c r="B18" s="15" t="s">
        <v>23</v>
      </c>
      <c r="C18" s="16">
        <v>640</v>
      </c>
      <c r="G18" s="16"/>
    </row>
    <row r="19" spans="1:7" x14ac:dyDescent="0.35">
      <c r="C19" s="16"/>
      <c r="G19" s="16"/>
    </row>
    <row r="20" spans="1:7" ht="15" thickBot="1" x14ac:dyDescent="0.4">
      <c r="C20" s="17">
        <f>SUM(C10:C19)</f>
        <v>28054</v>
      </c>
      <c r="G20" s="17">
        <f>SUM(G10:G19)</f>
        <v>37000</v>
      </c>
    </row>
    <row r="21" spans="1:7" ht="15" thickTop="1" x14ac:dyDescent="0.35">
      <c r="C21" s="16"/>
    </row>
    <row r="22" spans="1:7" x14ac:dyDescent="0.35">
      <c r="A22" s="18">
        <v>44951</v>
      </c>
      <c r="B22" s="15" t="s">
        <v>23</v>
      </c>
      <c r="C22" s="16">
        <v>1920</v>
      </c>
      <c r="D22" s="16"/>
      <c r="E22" s="18">
        <v>44938</v>
      </c>
      <c r="F22" s="15" t="s">
        <v>22</v>
      </c>
      <c r="G22" s="16">
        <v>9000</v>
      </c>
    </row>
    <row r="23" spans="1:7" x14ac:dyDescent="0.35">
      <c r="A23" s="18">
        <v>44980</v>
      </c>
      <c r="B23" s="15" t="s">
        <v>23</v>
      </c>
      <c r="C23" s="16">
        <v>2560</v>
      </c>
      <c r="D23" s="16"/>
      <c r="E23" s="18">
        <v>44971</v>
      </c>
      <c r="F23" s="15" t="s">
        <v>22</v>
      </c>
      <c r="G23" s="16">
        <v>4000</v>
      </c>
    </row>
    <row r="24" spans="1:7" x14ac:dyDescent="0.35">
      <c r="A24" s="18">
        <v>45015</v>
      </c>
      <c r="B24" s="15" t="s">
        <v>23</v>
      </c>
      <c r="C24" s="16">
        <v>2560</v>
      </c>
      <c r="D24" s="16"/>
      <c r="E24" s="18">
        <v>44998</v>
      </c>
      <c r="F24" s="15" t="s">
        <v>22</v>
      </c>
      <c r="G24" s="16">
        <v>4000</v>
      </c>
    </row>
    <row r="25" spans="1:7" x14ac:dyDescent="0.35">
      <c r="A25" s="18">
        <v>45042</v>
      </c>
      <c r="B25" s="15" t="s">
        <v>23</v>
      </c>
      <c r="C25" s="16">
        <v>2560</v>
      </c>
      <c r="D25" s="16"/>
      <c r="E25" s="18">
        <v>45027</v>
      </c>
      <c r="F25" s="15" t="s">
        <v>22</v>
      </c>
      <c r="G25" s="16">
        <v>4000</v>
      </c>
    </row>
    <row r="26" spans="1:7" x14ac:dyDescent="0.35">
      <c r="A26" s="18">
        <v>45077</v>
      </c>
      <c r="B26" s="15" t="s">
        <v>23</v>
      </c>
      <c r="C26" s="16">
        <v>2560</v>
      </c>
      <c r="D26" s="16"/>
      <c r="E26" s="18">
        <v>45055</v>
      </c>
      <c r="F26" s="15" t="s">
        <v>22</v>
      </c>
      <c r="G26" s="16">
        <v>4000</v>
      </c>
    </row>
    <row r="27" spans="1:7" x14ac:dyDescent="0.35">
      <c r="A27" s="18">
        <v>45093</v>
      </c>
      <c r="B27" s="15" t="s">
        <v>23</v>
      </c>
      <c r="C27" s="16">
        <v>1280</v>
      </c>
      <c r="D27" s="16"/>
      <c r="E27" s="18">
        <v>45083</v>
      </c>
      <c r="F27" s="15" t="s">
        <v>22</v>
      </c>
      <c r="G27" s="16">
        <v>4000</v>
      </c>
    </row>
    <row r="28" spans="1:7" x14ac:dyDescent="0.35">
      <c r="A28" s="18">
        <v>45127</v>
      </c>
      <c r="B28" s="15" t="s">
        <v>23</v>
      </c>
      <c r="C28" s="16">
        <v>640</v>
      </c>
      <c r="D28" s="16"/>
      <c r="E28" s="18">
        <v>45124</v>
      </c>
      <c r="F28" s="15" t="s">
        <v>22</v>
      </c>
      <c r="G28" s="16">
        <v>4000</v>
      </c>
    </row>
    <row r="29" spans="1:7" x14ac:dyDescent="0.35">
      <c r="A29" s="18">
        <v>45140</v>
      </c>
      <c r="B29" s="15" t="s">
        <v>23</v>
      </c>
      <c r="C29" s="16">
        <v>640</v>
      </c>
      <c r="D29" s="16"/>
      <c r="E29" s="18">
        <v>45162</v>
      </c>
      <c r="F29" s="15" t="s">
        <v>22</v>
      </c>
      <c r="G29" s="16">
        <v>4000</v>
      </c>
    </row>
    <row r="30" spans="1:7" x14ac:dyDescent="0.35">
      <c r="A30" s="18">
        <v>45167</v>
      </c>
      <c r="B30" s="15" t="s">
        <v>23</v>
      </c>
      <c r="C30" s="16">
        <v>640</v>
      </c>
      <c r="D30" s="16"/>
      <c r="E30" s="18">
        <v>45183</v>
      </c>
      <c r="F30" s="15" t="s">
        <v>22</v>
      </c>
      <c r="G30" s="16">
        <v>4000</v>
      </c>
    </row>
    <row r="31" spans="1:7" x14ac:dyDescent="0.35">
      <c r="A31" s="18">
        <v>45189</v>
      </c>
      <c r="B31" s="15" t="s">
        <v>23</v>
      </c>
      <c r="C31" s="16">
        <v>640</v>
      </c>
      <c r="D31" s="16"/>
      <c r="E31" s="18">
        <v>45211</v>
      </c>
      <c r="F31" s="15" t="s">
        <v>22</v>
      </c>
      <c r="G31" s="16">
        <v>4000</v>
      </c>
    </row>
    <row r="32" spans="1:7" x14ac:dyDescent="0.35">
      <c r="A32" s="18">
        <v>45244</v>
      </c>
      <c r="B32" s="15" t="s">
        <v>19</v>
      </c>
      <c r="C32" s="16">
        <v>12358</v>
      </c>
      <c r="D32" s="16"/>
      <c r="G32" s="16"/>
    </row>
    <row r="33" spans="1:7" x14ac:dyDescent="0.35">
      <c r="A33" s="18">
        <v>45291</v>
      </c>
      <c r="B33" s="15" t="s">
        <v>19</v>
      </c>
      <c r="C33" s="16">
        <v>2930</v>
      </c>
      <c r="D33" s="16"/>
      <c r="E33" s="16"/>
      <c r="F33" s="16"/>
      <c r="G33" s="16"/>
    </row>
    <row r="34" spans="1:7" x14ac:dyDescent="0.35">
      <c r="C34" s="16"/>
      <c r="D34" s="16"/>
      <c r="E34" s="16"/>
      <c r="F34" s="16"/>
      <c r="G34" s="16"/>
    </row>
    <row r="35" spans="1:7" ht="15" thickBot="1" x14ac:dyDescent="0.4">
      <c r="C35" s="17">
        <f>SUM(C22:C34)</f>
        <v>31288</v>
      </c>
      <c r="D35" s="16"/>
      <c r="E35" s="16"/>
      <c r="F35" s="16"/>
      <c r="G35" s="17">
        <f>SUM(G22:G34)</f>
        <v>45000</v>
      </c>
    </row>
    <row r="36" spans="1:7" ht="15" thickTop="1" x14ac:dyDescent="0.35">
      <c r="C36" s="16"/>
      <c r="D36" s="16"/>
      <c r="E36" s="16"/>
      <c r="F36" s="16"/>
      <c r="G36" s="16"/>
    </row>
    <row r="37" spans="1:7" x14ac:dyDescent="0.35">
      <c r="A37" s="18">
        <v>45421</v>
      </c>
      <c r="B37" s="15" t="s">
        <v>21</v>
      </c>
      <c r="C37" s="16">
        <v>10400</v>
      </c>
      <c r="D37" s="16"/>
      <c r="E37" s="16"/>
      <c r="F37" s="16"/>
      <c r="G37" s="16"/>
    </row>
    <row r="38" spans="1:7" x14ac:dyDescent="0.35">
      <c r="A38" s="18">
        <v>45497</v>
      </c>
      <c r="B38" s="15" t="s">
        <v>21</v>
      </c>
      <c r="C38" s="16">
        <v>17680</v>
      </c>
      <c r="D38" s="16"/>
      <c r="E38" s="16"/>
      <c r="F38" s="16"/>
      <c r="G38" s="16"/>
    </row>
    <row r="39" spans="1:7" x14ac:dyDescent="0.35">
      <c r="A39" s="18">
        <v>45523</v>
      </c>
      <c r="B39" s="15" t="s">
        <v>21</v>
      </c>
      <c r="C39" s="16">
        <v>10400</v>
      </c>
      <c r="D39" s="16"/>
      <c r="E39" s="16"/>
      <c r="F39" s="16"/>
      <c r="G39" s="16"/>
    </row>
    <row r="40" spans="1:7" x14ac:dyDescent="0.35">
      <c r="A40" s="18">
        <v>45590</v>
      </c>
      <c r="B40" s="15" t="s">
        <v>20</v>
      </c>
      <c r="C40" s="16">
        <v>2500</v>
      </c>
      <c r="D40" s="16"/>
      <c r="E40" s="16"/>
      <c r="F40" s="16"/>
      <c r="G40" s="16"/>
    </row>
    <row r="41" spans="1:7" x14ac:dyDescent="0.35">
      <c r="A41" s="18">
        <v>45657</v>
      </c>
      <c r="B41" s="15" t="s">
        <v>19</v>
      </c>
      <c r="C41" s="16">
        <v>7039</v>
      </c>
      <c r="D41" s="16"/>
      <c r="E41" s="16"/>
      <c r="F41" s="16"/>
      <c r="G41" s="16"/>
    </row>
    <row r="42" spans="1:7" x14ac:dyDescent="0.35">
      <c r="A42" s="18">
        <v>45657</v>
      </c>
      <c r="B42" s="15" t="s">
        <v>19</v>
      </c>
      <c r="C42" s="16">
        <v>5861</v>
      </c>
      <c r="D42" s="16"/>
      <c r="E42" s="16"/>
      <c r="F42" s="16"/>
      <c r="G42" s="16"/>
    </row>
    <row r="43" spans="1:7" x14ac:dyDescent="0.35">
      <c r="C43" s="16"/>
      <c r="D43" s="16"/>
      <c r="E43" s="16"/>
      <c r="F43" s="16"/>
      <c r="G43" s="16"/>
    </row>
    <row r="44" spans="1:7" ht="15" thickBot="1" x14ac:dyDescent="0.4">
      <c r="C44" s="17">
        <f>SUM(C37:C43)</f>
        <v>53880</v>
      </c>
      <c r="D44" s="16"/>
      <c r="E44" s="16"/>
      <c r="F44" s="16"/>
      <c r="G44" s="16"/>
    </row>
    <row r="45" spans="1:7" ht="15" thickTop="1" x14ac:dyDescent="0.35">
      <c r="C45" s="16"/>
      <c r="D45" s="16"/>
      <c r="E45" s="16"/>
      <c r="F45" s="16"/>
      <c r="G45" s="16"/>
    </row>
    <row r="46" spans="1:7" x14ac:dyDescent="0.35">
      <c r="A46" s="18">
        <v>45716</v>
      </c>
      <c r="B46" s="15" t="s">
        <v>18</v>
      </c>
      <c r="C46" s="16">
        <v>5955</v>
      </c>
      <c r="D46" s="16"/>
      <c r="E46" s="16"/>
      <c r="F46" s="16"/>
      <c r="G46" s="16"/>
    </row>
    <row r="47" spans="1:7" x14ac:dyDescent="0.35">
      <c r="A47" s="18">
        <v>45747</v>
      </c>
      <c r="B47" s="15" t="s">
        <v>18</v>
      </c>
      <c r="C47" s="16">
        <v>6975</v>
      </c>
      <c r="D47" s="16"/>
      <c r="E47" s="16"/>
      <c r="F47" s="16"/>
      <c r="G47" s="16"/>
    </row>
    <row r="48" spans="1:7" x14ac:dyDescent="0.35">
      <c r="A48" s="18">
        <v>45856</v>
      </c>
      <c r="B48" s="15" t="s">
        <v>18</v>
      </c>
      <c r="C48" s="16">
        <v>14493</v>
      </c>
      <c r="D48" s="16"/>
      <c r="E48" s="16"/>
      <c r="F48" s="16"/>
      <c r="G48" s="16"/>
    </row>
    <row r="49" spans="1:7" x14ac:dyDescent="0.35">
      <c r="A49" s="18">
        <v>45890</v>
      </c>
      <c r="B49" s="15" t="s">
        <v>17</v>
      </c>
      <c r="C49" s="16">
        <v>1283</v>
      </c>
      <c r="D49" s="16"/>
      <c r="E49" s="16"/>
      <c r="F49" s="16"/>
      <c r="G49" s="16"/>
    </row>
    <row r="50" spans="1:7" x14ac:dyDescent="0.35">
      <c r="A50" s="18">
        <v>45868</v>
      </c>
      <c r="B50" s="15" t="s">
        <v>16</v>
      </c>
      <c r="C50" s="16">
        <v>7500</v>
      </c>
      <c r="D50" s="16"/>
      <c r="E50" s="16"/>
      <c r="F50" s="16"/>
      <c r="G50" s="16"/>
    </row>
    <row r="51" spans="1:7" x14ac:dyDescent="0.35">
      <c r="A51" s="18">
        <v>45874</v>
      </c>
      <c r="B51" s="15" t="s">
        <v>16</v>
      </c>
      <c r="C51" s="16">
        <v>16236</v>
      </c>
      <c r="D51" s="16"/>
      <c r="E51" s="16"/>
      <c r="F51" s="16"/>
      <c r="G51" s="16"/>
    </row>
    <row r="52" spans="1:7" x14ac:dyDescent="0.35">
      <c r="A52" s="18">
        <v>45884</v>
      </c>
      <c r="B52" s="15" t="s">
        <v>16</v>
      </c>
      <c r="C52" s="16">
        <v>5861</v>
      </c>
      <c r="D52" s="16"/>
      <c r="E52" s="16"/>
      <c r="F52" s="16"/>
      <c r="G52" s="16"/>
    </row>
    <row r="53" spans="1:7" x14ac:dyDescent="0.35">
      <c r="A53" s="18">
        <v>45887</v>
      </c>
      <c r="B53" s="15" t="s">
        <v>16</v>
      </c>
      <c r="C53" s="16">
        <v>8339</v>
      </c>
      <c r="D53" s="16"/>
      <c r="E53" s="16"/>
      <c r="F53" s="16"/>
      <c r="G53" s="16"/>
    </row>
    <row r="54" spans="1:7" x14ac:dyDescent="0.35">
      <c r="A54" s="18">
        <v>45898</v>
      </c>
      <c r="B54" s="15" t="s">
        <v>15</v>
      </c>
      <c r="C54" s="16">
        <v>19760</v>
      </c>
      <c r="D54" s="16"/>
      <c r="E54" s="16"/>
      <c r="F54" s="16"/>
      <c r="G54" s="16"/>
    </row>
    <row r="55" spans="1:7" x14ac:dyDescent="0.35">
      <c r="A55" s="18"/>
      <c r="C55" s="16"/>
      <c r="D55" s="16"/>
      <c r="E55" s="16"/>
      <c r="F55" s="16"/>
      <c r="G55" s="16"/>
    </row>
    <row r="56" spans="1:7" ht="15" thickBot="1" x14ac:dyDescent="0.4">
      <c r="C56" s="17">
        <f>SUM(C46:C54)</f>
        <v>86402</v>
      </c>
      <c r="D56" s="16"/>
      <c r="E56" s="16"/>
      <c r="F56" s="16"/>
      <c r="G56" s="16"/>
    </row>
    <row r="57" spans="1:7" ht="15" thickTop="1" x14ac:dyDescent="0.35">
      <c r="C57" s="16"/>
      <c r="D57" s="16"/>
      <c r="E57" s="16"/>
      <c r="F57" s="16"/>
      <c r="G57" s="16"/>
    </row>
    <row r="58" spans="1:7" x14ac:dyDescent="0.35">
      <c r="C58" s="16"/>
      <c r="D58" s="16"/>
      <c r="E58" s="16"/>
      <c r="F58" s="16"/>
      <c r="G58" s="16"/>
    </row>
    <row r="59" spans="1:7" x14ac:dyDescent="0.35">
      <c r="C59" s="16"/>
      <c r="D59" s="16"/>
      <c r="E59" s="16"/>
      <c r="F59" s="16"/>
      <c r="G59" s="16"/>
    </row>
    <row r="60" spans="1:7" x14ac:dyDescent="0.35">
      <c r="C60" s="16"/>
      <c r="D60" s="16"/>
      <c r="E60" s="16"/>
      <c r="F60" s="16"/>
      <c r="G60" s="16"/>
    </row>
    <row r="61" spans="1:7" x14ac:dyDescent="0.35">
      <c r="C61" s="16"/>
      <c r="D61" s="16"/>
      <c r="E61" s="16"/>
      <c r="F61" s="16"/>
      <c r="G61" s="16"/>
    </row>
    <row r="62" spans="1:7" x14ac:dyDescent="0.35">
      <c r="C62" s="16"/>
      <c r="D62" s="16"/>
      <c r="E62" s="16"/>
      <c r="F62" s="16"/>
      <c r="G62" s="16"/>
    </row>
    <row r="63" spans="1:7" x14ac:dyDescent="0.35">
      <c r="C63" s="16"/>
      <c r="D63" s="16"/>
      <c r="E63" s="16"/>
      <c r="F63" s="16"/>
      <c r="G63" s="16"/>
    </row>
    <row r="64" spans="1:7" x14ac:dyDescent="0.35">
      <c r="C64" s="16"/>
      <c r="D64" s="16"/>
      <c r="E64" s="16"/>
      <c r="F64" s="16"/>
      <c r="G64" s="16"/>
    </row>
    <row r="65" spans="3:7" x14ac:dyDescent="0.35">
      <c r="C65" s="16"/>
      <c r="D65" s="16"/>
      <c r="E65" s="16"/>
      <c r="F65" s="16"/>
      <c r="G65" s="16"/>
    </row>
    <row r="66" spans="3:7" x14ac:dyDescent="0.35">
      <c r="C66" s="16"/>
      <c r="D66" s="16"/>
      <c r="E66" s="16"/>
      <c r="F66" s="16"/>
      <c r="G66" s="16"/>
    </row>
    <row r="67" spans="3:7" x14ac:dyDescent="0.35">
      <c r="C67" s="16"/>
      <c r="D67" s="16"/>
      <c r="E67" s="16"/>
      <c r="F67" s="16"/>
      <c r="G67" s="16"/>
    </row>
    <row r="68" spans="3:7" x14ac:dyDescent="0.35">
      <c r="C68" s="16"/>
      <c r="D68" s="16"/>
      <c r="E68" s="16"/>
      <c r="F68" s="16"/>
      <c r="G68" s="16"/>
    </row>
    <row r="69" spans="3:7" x14ac:dyDescent="0.35">
      <c r="C69" s="16"/>
      <c r="D69" s="16"/>
      <c r="E69" s="16"/>
      <c r="F69" s="16"/>
      <c r="G69" s="16"/>
    </row>
    <row r="70" spans="3:7" x14ac:dyDescent="0.35">
      <c r="C70" s="16"/>
      <c r="D70" s="16"/>
      <c r="E70" s="16"/>
      <c r="F70" s="16"/>
      <c r="G70" s="16"/>
    </row>
    <row r="71" spans="3:7" x14ac:dyDescent="0.35">
      <c r="C71" s="16"/>
      <c r="D71" s="16"/>
      <c r="E71" s="16"/>
      <c r="F71" s="16"/>
      <c r="G71" s="16"/>
    </row>
    <row r="72" spans="3:7" x14ac:dyDescent="0.35">
      <c r="C72" s="16"/>
      <c r="D72" s="16"/>
      <c r="E72" s="16"/>
      <c r="F72" s="16"/>
      <c r="G72" s="16"/>
    </row>
    <row r="73" spans="3:7" x14ac:dyDescent="0.35">
      <c r="C73" s="16"/>
      <c r="D73" s="16"/>
      <c r="E73" s="16"/>
      <c r="F73" s="16"/>
      <c r="G73" s="16"/>
    </row>
    <row r="74" spans="3:7" x14ac:dyDescent="0.35">
      <c r="C74" s="16"/>
      <c r="D74" s="16"/>
      <c r="E74" s="16"/>
      <c r="F74" s="16"/>
      <c r="G74" s="16"/>
    </row>
    <row r="75" spans="3:7" x14ac:dyDescent="0.35">
      <c r="C75" s="16"/>
      <c r="D75" s="16"/>
      <c r="E75" s="16"/>
      <c r="F75" s="16"/>
      <c r="G75" s="16"/>
    </row>
    <row r="76" spans="3:7" x14ac:dyDescent="0.35">
      <c r="C76" s="16"/>
      <c r="D76" s="16"/>
      <c r="E76" s="16"/>
      <c r="F76" s="16"/>
      <c r="G76" s="16"/>
    </row>
    <row r="77" spans="3:7" x14ac:dyDescent="0.35">
      <c r="C77" s="16"/>
      <c r="D77" s="16"/>
      <c r="E77" s="16"/>
      <c r="F77" s="16"/>
      <c r="G77" s="16"/>
    </row>
    <row r="78" spans="3:7" x14ac:dyDescent="0.35">
      <c r="C78" s="16"/>
      <c r="D78" s="16"/>
      <c r="E78" s="16"/>
      <c r="F78" s="16"/>
      <c r="G78" s="16"/>
    </row>
    <row r="79" spans="3:7" x14ac:dyDescent="0.35">
      <c r="C79" s="16"/>
      <c r="D79" s="16"/>
      <c r="E79" s="16"/>
      <c r="F79" s="16"/>
      <c r="G79" s="16"/>
    </row>
    <row r="80" spans="3:7" x14ac:dyDescent="0.35">
      <c r="C80" s="16"/>
      <c r="D80" s="16"/>
      <c r="E80" s="16"/>
      <c r="F80" s="16"/>
      <c r="G80" s="16"/>
    </row>
    <row r="81" spans="3:7" x14ac:dyDescent="0.35">
      <c r="C81" s="16"/>
      <c r="D81" s="16"/>
      <c r="E81" s="16"/>
      <c r="F81" s="16"/>
      <c r="G81" s="16"/>
    </row>
    <row r="82" spans="3:7" x14ac:dyDescent="0.35">
      <c r="C82" s="16"/>
      <c r="D82" s="16"/>
      <c r="E82" s="16"/>
      <c r="F82" s="16"/>
      <c r="G82" s="16"/>
    </row>
    <row r="83" spans="3:7" x14ac:dyDescent="0.35">
      <c r="C83" s="16"/>
      <c r="D83" s="16"/>
      <c r="E83" s="16"/>
      <c r="F83" s="16"/>
      <c r="G83" s="16"/>
    </row>
    <row r="84" spans="3:7" x14ac:dyDescent="0.35">
      <c r="C84" s="16"/>
      <c r="D84" s="16"/>
      <c r="E84" s="16"/>
      <c r="F84" s="16"/>
      <c r="G84" s="16"/>
    </row>
    <row r="85" spans="3:7" x14ac:dyDescent="0.35">
      <c r="C85" s="16"/>
      <c r="D85" s="16"/>
      <c r="E85" s="16"/>
      <c r="F85" s="16"/>
      <c r="G85" s="16"/>
    </row>
    <row r="86" spans="3:7" x14ac:dyDescent="0.35">
      <c r="C86" s="16"/>
      <c r="D86" s="16"/>
      <c r="E86" s="16"/>
      <c r="F86" s="16"/>
      <c r="G86" s="16"/>
    </row>
    <row r="87" spans="3:7" x14ac:dyDescent="0.35">
      <c r="C87" s="16"/>
      <c r="D87" s="16"/>
      <c r="E87" s="16"/>
      <c r="F87" s="16"/>
      <c r="G87" s="16"/>
    </row>
    <row r="88" spans="3:7" x14ac:dyDescent="0.35">
      <c r="C88" s="16"/>
      <c r="D88" s="16"/>
      <c r="E88" s="16"/>
      <c r="F88" s="16"/>
      <c r="G88" s="16"/>
    </row>
    <row r="89" spans="3:7" x14ac:dyDescent="0.35">
      <c r="C89" s="16"/>
      <c r="D89" s="16"/>
      <c r="E89" s="16"/>
      <c r="F89" s="16"/>
      <c r="G89" s="16"/>
    </row>
    <row r="90" spans="3:7" x14ac:dyDescent="0.35">
      <c r="C90" s="16"/>
      <c r="D90" s="16"/>
      <c r="E90" s="16"/>
      <c r="F90" s="16"/>
      <c r="G90" s="16"/>
    </row>
    <row r="91" spans="3:7" x14ac:dyDescent="0.35">
      <c r="C91" s="16"/>
      <c r="D91" s="16"/>
      <c r="E91" s="16"/>
      <c r="F91" s="16"/>
      <c r="G91" s="16"/>
    </row>
    <row r="92" spans="3:7" x14ac:dyDescent="0.35">
      <c r="C92" s="16"/>
      <c r="D92" s="16"/>
      <c r="E92" s="16"/>
      <c r="F92" s="16"/>
      <c r="G92" s="16"/>
    </row>
    <row r="93" spans="3:7" x14ac:dyDescent="0.35">
      <c r="C93" s="16"/>
      <c r="D93" s="16"/>
      <c r="E93" s="16"/>
      <c r="F93" s="16"/>
      <c r="G93" s="16"/>
    </row>
    <row r="94" spans="3:7" x14ac:dyDescent="0.35">
      <c r="C94" s="16"/>
      <c r="D94" s="16"/>
      <c r="E94" s="16"/>
      <c r="F94" s="16"/>
      <c r="G94" s="16"/>
    </row>
    <row r="95" spans="3:7" x14ac:dyDescent="0.35">
      <c r="C95" s="16"/>
      <c r="D95" s="16"/>
      <c r="E95" s="16"/>
      <c r="F95" s="16"/>
      <c r="G95" s="16"/>
    </row>
    <row r="96" spans="3:7" x14ac:dyDescent="0.35">
      <c r="C96" s="16"/>
      <c r="D96" s="16"/>
      <c r="E96" s="16"/>
      <c r="F96" s="16"/>
      <c r="G96" s="16"/>
    </row>
    <row r="97" spans="3:7" x14ac:dyDescent="0.35">
      <c r="C97" s="16"/>
      <c r="D97" s="16"/>
      <c r="E97" s="16"/>
      <c r="F97" s="16"/>
      <c r="G97" s="16"/>
    </row>
    <row r="98" spans="3:7" x14ac:dyDescent="0.35">
      <c r="C98" s="16"/>
      <c r="D98" s="16"/>
      <c r="E98" s="16"/>
      <c r="F98" s="16"/>
      <c r="G98" s="16"/>
    </row>
    <row r="99" spans="3:7" x14ac:dyDescent="0.35">
      <c r="C99" s="16"/>
      <c r="D99" s="16"/>
      <c r="E99" s="16"/>
      <c r="F99" s="16"/>
      <c r="G99" s="16"/>
    </row>
    <row r="100" spans="3:7" x14ac:dyDescent="0.35">
      <c r="C100" s="16"/>
      <c r="D100" s="16"/>
      <c r="E100" s="16"/>
      <c r="F100" s="16"/>
      <c r="G100" s="16"/>
    </row>
    <row r="101" spans="3:7" x14ac:dyDescent="0.35">
      <c r="C101" s="16"/>
      <c r="D101" s="16"/>
      <c r="E101" s="16"/>
      <c r="F101" s="16"/>
      <c r="G101" s="16"/>
    </row>
    <row r="102" spans="3:7" x14ac:dyDescent="0.35">
      <c r="C102" s="16"/>
      <c r="D102" s="16"/>
      <c r="E102" s="16"/>
      <c r="F102" s="16"/>
      <c r="G102" s="16"/>
    </row>
    <row r="103" spans="3:7" x14ac:dyDescent="0.35">
      <c r="C103" s="16"/>
      <c r="D103" s="16"/>
      <c r="E103" s="16"/>
      <c r="F103" s="16"/>
      <c r="G103" s="16"/>
    </row>
    <row r="104" spans="3:7" x14ac:dyDescent="0.35">
      <c r="C104" s="16"/>
      <c r="D104" s="16"/>
      <c r="E104" s="16"/>
      <c r="F104" s="16"/>
      <c r="G104" s="16"/>
    </row>
    <row r="105" spans="3:7" x14ac:dyDescent="0.35">
      <c r="C105" s="16"/>
      <c r="D105" s="16"/>
      <c r="E105" s="16"/>
      <c r="F105" s="16"/>
      <c r="G105" s="1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0B538-6C98-4BAB-852B-BCB694835CFB}">
  <dimension ref="A1:H187"/>
  <sheetViews>
    <sheetView showGridLines="0" topLeftCell="A160" workbookViewId="0">
      <selection activeCell="A181" sqref="A181"/>
    </sheetView>
  </sheetViews>
  <sheetFormatPr defaultRowHeight="12.5" x14ac:dyDescent="0.25"/>
  <cols>
    <col min="1" max="1" width="13.7265625" style="26" customWidth="1"/>
    <col min="2" max="2" width="40.7265625" style="26" customWidth="1"/>
    <col min="3" max="4" width="16.7265625" style="26" customWidth="1"/>
    <col min="5" max="7" width="14.7265625" style="26" customWidth="1"/>
    <col min="8" max="8" width="16.7265625" style="26" customWidth="1"/>
    <col min="9" max="256" width="9.1796875" style="26" customWidth="1"/>
    <col min="257" max="16384" width="8.7265625" style="26"/>
  </cols>
  <sheetData>
    <row r="1" spans="1:8" x14ac:dyDescent="0.25">
      <c r="A1" s="29" t="s">
        <v>342</v>
      </c>
      <c r="B1" s="29" t="s">
        <v>341</v>
      </c>
      <c r="C1" s="29" t="s">
        <v>340</v>
      </c>
      <c r="D1" s="29" t="s">
        <v>340</v>
      </c>
      <c r="E1" s="29" t="s">
        <v>337</v>
      </c>
      <c r="F1" s="29" t="s">
        <v>339</v>
      </c>
      <c r="G1" s="29" t="s">
        <v>338</v>
      </c>
      <c r="H1" s="29" t="s">
        <v>337</v>
      </c>
    </row>
    <row r="2" spans="1:8" x14ac:dyDescent="0.25">
      <c r="A2" s="29" t="s">
        <v>2</v>
      </c>
      <c r="B2" s="29" t="s">
        <v>2</v>
      </c>
      <c r="C2" s="29" t="s">
        <v>2</v>
      </c>
      <c r="D2" s="29" t="s">
        <v>336</v>
      </c>
      <c r="E2" s="29" t="s">
        <v>2</v>
      </c>
      <c r="F2" s="29" t="s">
        <v>2</v>
      </c>
      <c r="G2" s="29" t="s">
        <v>336</v>
      </c>
      <c r="H2" s="29" t="s">
        <v>2</v>
      </c>
    </row>
    <row r="3" spans="1:8" x14ac:dyDescent="0.25">
      <c r="B3" s="29" t="s">
        <v>335</v>
      </c>
    </row>
    <row r="4" spans="1:8" x14ac:dyDescent="0.25">
      <c r="A4" s="29" t="s">
        <v>334</v>
      </c>
      <c r="B4" s="29" t="s">
        <v>332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</row>
    <row r="5" spans="1:8" x14ac:dyDescent="0.25">
      <c r="A5" s="29" t="s">
        <v>333</v>
      </c>
      <c r="B5" s="29" t="s">
        <v>332</v>
      </c>
      <c r="C5" s="28">
        <v>1125166.1499999999</v>
      </c>
      <c r="D5" s="28">
        <v>1092810.7</v>
      </c>
      <c r="E5" s="28">
        <v>32355.45</v>
      </c>
      <c r="F5" s="28">
        <v>6435117.25</v>
      </c>
      <c r="G5" s="28">
        <v>9491342.1600000001</v>
      </c>
      <c r="H5" s="27">
        <v>-3056224.91</v>
      </c>
    </row>
    <row r="6" spans="1:8" x14ac:dyDescent="0.25">
      <c r="A6" s="29" t="s">
        <v>331</v>
      </c>
      <c r="B6" s="29" t="s">
        <v>330</v>
      </c>
      <c r="C6" s="28">
        <v>0</v>
      </c>
      <c r="D6" s="28">
        <v>0</v>
      </c>
      <c r="E6" s="28">
        <v>0</v>
      </c>
      <c r="F6" s="28">
        <v>0</v>
      </c>
      <c r="G6" s="27">
        <v>-12600</v>
      </c>
      <c r="H6" s="28">
        <v>12600</v>
      </c>
    </row>
    <row r="7" spans="1:8" x14ac:dyDescent="0.25">
      <c r="A7" s="29" t="s">
        <v>329</v>
      </c>
      <c r="B7" s="29" t="s">
        <v>322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</row>
    <row r="8" spans="1:8" x14ac:dyDescent="0.25">
      <c r="A8" s="29" t="s">
        <v>328</v>
      </c>
      <c r="B8" s="29" t="s">
        <v>322</v>
      </c>
      <c r="C8" s="28">
        <v>6300</v>
      </c>
      <c r="D8" s="27">
        <v>-0.57999999999999996</v>
      </c>
      <c r="E8" s="28">
        <v>6300.58</v>
      </c>
      <c r="F8" s="27">
        <v>-5.7</v>
      </c>
      <c r="G8" s="28">
        <v>1030.56</v>
      </c>
      <c r="H8" s="27">
        <v>-1036.26</v>
      </c>
    </row>
    <row r="9" spans="1:8" x14ac:dyDescent="0.25">
      <c r="A9" s="29" t="s">
        <v>327</v>
      </c>
      <c r="B9" s="29" t="s">
        <v>326</v>
      </c>
      <c r="C9" s="28">
        <v>675</v>
      </c>
      <c r="D9" s="28">
        <v>2150</v>
      </c>
      <c r="E9" s="27">
        <v>-1475</v>
      </c>
      <c r="F9" s="28">
        <v>4473.12</v>
      </c>
      <c r="G9" s="28">
        <v>9567.66</v>
      </c>
      <c r="H9" s="27">
        <v>-5094.54</v>
      </c>
    </row>
    <row r="10" spans="1:8" x14ac:dyDescent="0.25">
      <c r="A10" s="29" t="s">
        <v>325</v>
      </c>
      <c r="B10" s="29" t="s">
        <v>324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</row>
    <row r="11" spans="1:8" x14ac:dyDescent="0.25">
      <c r="A11" s="29" t="s">
        <v>323</v>
      </c>
      <c r="B11" s="29" t="s">
        <v>322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</row>
    <row r="12" spans="1:8" x14ac:dyDescent="0.25">
      <c r="A12" s="29"/>
      <c r="B12" s="29" t="s">
        <v>321</v>
      </c>
      <c r="C12" s="28">
        <v>1132141.1499999999</v>
      </c>
      <c r="D12" s="28">
        <v>1094960.1200000001</v>
      </c>
      <c r="E12" s="28">
        <v>37181.03</v>
      </c>
      <c r="F12" s="28">
        <v>6439584.6699999999</v>
      </c>
      <c r="G12" s="28">
        <v>9489340.3800000008</v>
      </c>
      <c r="H12" s="27">
        <v>-3049755.71</v>
      </c>
    </row>
    <row r="13" spans="1:8" x14ac:dyDescent="0.25">
      <c r="B13" s="29" t="s">
        <v>51</v>
      </c>
    </row>
    <row r="14" spans="1:8" x14ac:dyDescent="0.25">
      <c r="B14" s="29" t="s">
        <v>320</v>
      </c>
    </row>
    <row r="15" spans="1:8" x14ac:dyDescent="0.25">
      <c r="A15" s="29" t="s">
        <v>319</v>
      </c>
      <c r="B15" s="29" t="s">
        <v>318</v>
      </c>
      <c r="C15" s="28">
        <v>189511.51</v>
      </c>
      <c r="D15" s="28">
        <v>140609.26999999999</v>
      </c>
      <c r="E15" s="28">
        <v>48902.239999999998</v>
      </c>
      <c r="F15" s="28">
        <v>718236.62</v>
      </c>
      <c r="G15" s="28">
        <v>922018.07</v>
      </c>
      <c r="H15" s="27">
        <v>-203781.45</v>
      </c>
    </row>
    <row r="16" spans="1:8" x14ac:dyDescent="0.25">
      <c r="A16" s="29" t="s">
        <v>317</v>
      </c>
      <c r="B16" s="29" t="s">
        <v>316</v>
      </c>
      <c r="C16" s="28">
        <v>29407.01</v>
      </c>
      <c r="D16" s="28">
        <v>38794.300000000003</v>
      </c>
      <c r="E16" s="27">
        <v>-9387.2900000000009</v>
      </c>
      <c r="F16" s="28">
        <v>258832.28</v>
      </c>
      <c r="G16" s="28">
        <v>360065.31</v>
      </c>
      <c r="H16" s="27">
        <v>-101233.03</v>
      </c>
    </row>
    <row r="17" spans="1:8" x14ac:dyDescent="0.25">
      <c r="A17" s="29" t="s">
        <v>315</v>
      </c>
      <c r="B17" s="29" t="s">
        <v>314</v>
      </c>
      <c r="C17" s="28">
        <v>44154.87</v>
      </c>
      <c r="D17" s="28">
        <v>48296.26</v>
      </c>
      <c r="E17" s="27">
        <v>-4141.3900000000003</v>
      </c>
      <c r="F17" s="28">
        <v>389969.4</v>
      </c>
      <c r="G17" s="28">
        <v>538794.14</v>
      </c>
      <c r="H17" s="27">
        <v>-148824.74</v>
      </c>
    </row>
    <row r="18" spans="1:8" x14ac:dyDescent="0.25">
      <c r="A18" s="29" t="s">
        <v>313</v>
      </c>
      <c r="B18" s="29" t="s">
        <v>312</v>
      </c>
      <c r="C18" s="28">
        <v>13578.35</v>
      </c>
      <c r="D18" s="28">
        <v>18919.22</v>
      </c>
      <c r="E18" s="27">
        <v>-5340.87</v>
      </c>
      <c r="F18" s="28">
        <v>100914.86</v>
      </c>
      <c r="G18" s="28">
        <v>141172.95000000001</v>
      </c>
      <c r="H18" s="27">
        <v>-40258.089999999997</v>
      </c>
    </row>
    <row r="19" spans="1:8" x14ac:dyDescent="0.25">
      <c r="A19" s="29" t="s">
        <v>311</v>
      </c>
      <c r="B19" s="29" t="s">
        <v>310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</row>
    <row r="20" spans="1:8" x14ac:dyDescent="0.25">
      <c r="A20" s="29" t="s">
        <v>309</v>
      </c>
      <c r="B20" s="29" t="s">
        <v>308</v>
      </c>
      <c r="C20" s="27">
        <v>-356.64</v>
      </c>
      <c r="D20" s="27">
        <v>-632.67999999999995</v>
      </c>
      <c r="E20" s="28">
        <v>276.04000000000002</v>
      </c>
      <c r="F20" s="27">
        <v>-4234.42</v>
      </c>
      <c r="G20" s="27">
        <v>-11735.79</v>
      </c>
      <c r="H20" s="28">
        <v>7501.37</v>
      </c>
    </row>
    <row r="21" spans="1:8" x14ac:dyDescent="0.25">
      <c r="A21" s="29" t="s">
        <v>307</v>
      </c>
      <c r="B21" s="29" t="s">
        <v>306</v>
      </c>
      <c r="C21" s="28">
        <v>42577.59</v>
      </c>
      <c r="D21" s="28">
        <v>674.15</v>
      </c>
      <c r="E21" s="28">
        <v>41903.440000000002</v>
      </c>
      <c r="F21" s="28">
        <v>60556.480000000003</v>
      </c>
      <c r="G21" s="28">
        <v>44044.61</v>
      </c>
      <c r="H21" s="28">
        <v>16511.87</v>
      </c>
    </row>
    <row r="22" spans="1:8" x14ac:dyDescent="0.25">
      <c r="A22" s="29" t="s">
        <v>305</v>
      </c>
      <c r="B22" s="29" t="s">
        <v>304</v>
      </c>
      <c r="C22" s="28">
        <v>3004.8</v>
      </c>
      <c r="D22" s="28">
        <v>78.650000000000006</v>
      </c>
      <c r="E22" s="28">
        <v>2926.15</v>
      </c>
      <c r="F22" s="28">
        <v>7268.77</v>
      </c>
      <c r="G22" s="28">
        <v>3529.55</v>
      </c>
      <c r="H22" s="28">
        <v>3739.22</v>
      </c>
    </row>
    <row r="23" spans="1:8" x14ac:dyDescent="0.25">
      <c r="A23" s="29" t="s">
        <v>303</v>
      </c>
      <c r="B23" s="29" t="s">
        <v>302</v>
      </c>
      <c r="C23" s="28">
        <v>0</v>
      </c>
      <c r="D23" s="28">
        <v>0</v>
      </c>
      <c r="E23" s="28">
        <v>0</v>
      </c>
      <c r="F23" s="28">
        <v>24</v>
      </c>
      <c r="G23" s="28">
        <v>513.13</v>
      </c>
      <c r="H23" s="27">
        <v>-489.13</v>
      </c>
    </row>
    <row r="24" spans="1:8" x14ac:dyDescent="0.25">
      <c r="A24" s="29" t="s">
        <v>301</v>
      </c>
      <c r="B24" s="29" t="s">
        <v>300</v>
      </c>
      <c r="C24" s="28">
        <v>92.21</v>
      </c>
      <c r="D24" s="28">
        <v>0</v>
      </c>
      <c r="E24" s="28">
        <v>92.21</v>
      </c>
      <c r="F24" s="28">
        <v>92.21</v>
      </c>
      <c r="G24" s="28">
        <v>1000</v>
      </c>
      <c r="H24" s="27">
        <v>-907.79</v>
      </c>
    </row>
    <row r="25" spans="1:8" x14ac:dyDescent="0.25">
      <c r="A25" s="29" t="s">
        <v>299</v>
      </c>
      <c r="B25" s="29" t="s">
        <v>298</v>
      </c>
      <c r="C25" s="27">
        <v>-38068.43</v>
      </c>
      <c r="D25" s="27">
        <v>-25973.03</v>
      </c>
      <c r="E25" s="27">
        <v>-12095.4</v>
      </c>
      <c r="F25" s="27">
        <v>-331068.86</v>
      </c>
      <c r="G25" s="27">
        <v>-378003.67</v>
      </c>
      <c r="H25" s="28">
        <v>46934.81</v>
      </c>
    </row>
    <row r="26" spans="1:8" x14ac:dyDescent="0.25">
      <c r="A26" s="29" t="s">
        <v>297</v>
      </c>
      <c r="B26" s="29" t="s">
        <v>296</v>
      </c>
      <c r="C26" s="27">
        <v>-48486.57</v>
      </c>
      <c r="D26" s="27">
        <v>-36831.339999999997</v>
      </c>
      <c r="E26" s="27">
        <v>-11655.23</v>
      </c>
      <c r="F26" s="27">
        <v>-449332.59</v>
      </c>
      <c r="G26" s="27">
        <v>-532342.93999999994</v>
      </c>
      <c r="H26" s="28">
        <v>83010.350000000006</v>
      </c>
    </row>
    <row r="27" spans="1:8" x14ac:dyDescent="0.25">
      <c r="A27" s="29" t="s">
        <v>295</v>
      </c>
      <c r="B27" s="29" t="s">
        <v>294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</row>
    <row r="28" spans="1:8" x14ac:dyDescent="0.25">
      <c r="A28" s="29" t="s">
        <v>293</v>
      </c>
      <c r="B28" s="29" t="s">
        <v>292</v>
      </c>
      <c r="C28" s="28">
        <v>83195.16</v>
      </c>
      <c r="D28" s="28">
        <v>65269.43</v>
      </c>
      <c r="E28" s="28">
        <v>17925.73</v>
      </c>
      <c r="F28" s="28">
        <v>717907.79</v>
      </c>
      <c r="G28" s="28">
        <v>748752.5</v>
      </c>
      <c r="H28" s="27">
        <v>-30844.71</v>
      </c>
    </row>
    <row r="29" spans="1:8" x14ac:dyDescent="0.25">
      <c r="A29" s="29" t="s">
        <v>291</v>
      </c>
      <c r="B29" s="29" t="s">
        <v>287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</row>
    <row r="30" spans="1:8" x14ac:dyDescent="0.25">
      <c r="A30" s="29" t="s">
        <v>290</v>
      </c>
      <c r="B30" s="29" t="s">
        <v>287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</row>
    <row r="31" spans="1:8" x14ac:dyDescent="0.25">
      <c r="A31" s="29" t="s">
        <v>289</v>
      </c>
      <c r="B31" s="29" t="s">
        <v>287</v>
      </c>
      <c r="C31" s="28">
        <v>28281.599999999999</v>
      </c>
      <c r="D31" s="28">
        <v>21190.82</v>
      </c>
      <c r="E31" s="28">
        <v>7090.78</v>
      </c>
      <c r="F31" s="28">
        <v>241638.72</v>
      </c>
      <c r="G31" s="28">
        <v>243342.62</v>
      </c>
      <c r="H31" s="27">
        <v>-1703.9</v>
      </c>
    </row>
    <row r="32" spans="1:8" x14ac:dyDescent="0.25">
      <c r="A32" s="29" t="s">
        <v>288</v>
      </c>
      <c r="B32" s="29" t="s">
        <v>287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</row>
    <row r="33" spans="1:8" x14ac:dyDescent="0.25">
      <c r="A33" s="29" t="s">
        <v>286</v>
      </c>
      <c r="B33" s="29" t="s">
        <v>284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</row>
    <row r="34" spans="1:8" x14ac:dyDescent="0.25">
      <c r="A34" s="29" t="s">
        <v>285</v>
      </c>
      <c r="B34" s="29" t="s">
        <v>284</v>
      </c>
      <c r="C34" s="28">
        <v>26953.48</v>
      </c>
      <c r="D34" s="28">
        <v>33109.279999999999</v>
      </c>
      <c r="E34" s="27">
        <v>-6155.8</v>
      </c>
      <c r="F34" s="28">
        <v>316633.03000000003</v>
      </c>
      <c r="G34" s="28">
        <v>315248.37</v>
      </c>
      <c r="H34" s="28">
        <v>1384.66</v>
      </c>
    </row>
    <row r="35" spans="1:8" x14ac:dyDescent="0.25">
      <c r="A35" s="29" t="s">
        <v>283</v>
      </c>
      <c r="B35" s="29" t="s">
        <v>280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</row>
    <row r="36" spans="1:8" x14ac:dyDescent="0.25">
      <c r="A36" s="29" t="s">
        <v>282</v>
      </c>
      <c r="B36" s="29" t="s">
        <v>280</v>
      </c>
      <c r="C36" s="28">
        <v>74665</v>
      </c>
      <c r="D36" s="28">
        <v>66152.039999999994</v>
      </c>
      <c r="E36" s="28">
        <v>8512.9599999999991</v>
      </c>
      <c r="F36" s="28">
        <v>760120</v>
      </c>
      <c r="G36" s="28">
        <v>752554.25</v>
      </c>
      <c r="H36" s="28">
        <v>7565.75</v>
      </c>
    </row>
    <row r="37" spans="1:8" x14ac:dyDescent="0.25">
      <c r="A37" s="29" t="s">
        <v>281</v>
      </c>
      <c r="B37" s="29" t="s">
        <v>280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 x14ac:dyDescent="0.25">
      <c r="A38" s="29" t="s">
        <v>279</v>
      </c>
      <c r="B38" s="29" t="s">
        <v>276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x14ac:dyDescent="0.25">
      <c r="A39" s="29" t="s">
        <v>278</v>
      </c>
      <c r="B39" s="29" t="s">
        <v>276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</row>
    <row r="40" spans="1:8" x14ac:dyDescent="0.25">
      <c r="A40" s="29" t="s">
        <v>277</v>
      </c>
      <c r="B40" s="29" t="s">
        <v>276</v>
      </c>
      <c r="C40" s="28">
        <v>24616.86</v>
      </c>
      <c r="D40" s="28">
        <v>23161.919999999998</v>
      </c>
      <c r="E40" s="28">
        <v>1454.94</v>
      </c>
      <c r="F40" s="28">
        <v>232985.97</v>
      </c>
      <c r="G40" s="28">
        <v>254963.79</v>
      </c>
      <c r="H40" s="27">
        <v>-21977.82</v>
      </c>
    </row>
    <row r="41" spans="1:8" x14ac:dyDescent="0.25">
      <c r="A41" s="29" t="s">
        <v>275</v>
      </c>
      <c r="B41" s="29" t="s">
        <v>274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</row>
    <row r="42" spans="1:8" x14ac:dyDescent="0.25">
      <c r="A42" s="29" t="s">
        <v>273</v>
      </c>
      <c r="B42" s="29" t="s">
        <v>90</v>
      </c>
      <c r="C42" s="28">
        <v>0</v>
      </c>
      <c r="D42" s="28">
        <v>0</v>
      </c>
      <c r="E42" s="28">
        <v>0</v>
      </c>
      <c r="F42" s="27">
        <v>-3117.28</v>
      </c>
      <c r="G42" s="28">
        <v>0</v>
      </c>
      <c r="H42" s="27">
        <v>-3117.28</v>
      </c>
    </row>
    <row r="43" spans="1:8" x14ac:dyDescent="0.25">
      <c r="A43" s="29" t="s">
        <v>272</v>
      </c>
      <c r="B43" s="29" t="s">
        <v>90</v>
      </c>
      <c r="C43" s="28">
        <v>27200.57</v>
      </c>
      <c r="D43" s="28">
        <v>27615.5</v>
      </c>
      <c r="E43" s="27">
        <v>-414.93</v>
      </c>
      <c r="F43" s="28">
        <v>296140.59999999998</v>
      </c>
      <c r="G43" s="28">
        <v>293410.90000000002</v>
      </c>
      <c r="H43" s="28">
        <v>2729.7</v>
      </c>
    </row>
    <row r="44" spans="1:8" x14ac:dyDescent="0.25">
      <c r="A44" s="29" t="s">
        <v>271</v>
      </c>
      <c r="B44" s="29" t="s">
        <v>154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</row>
    <row r="45" spans="1:8" x14ac:dyDescent="0.25">
      <c r="A45" s="29" t="s">
        <v>270</v>
      </c>
      <c r="B45" s="29" t="s">
        <v>154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</row>
    <row r="46" spans="1:8" x14ac:dyDescent="0.25">
      <c r="A46" s="29" t="s">
        <v>269</v>
      </c>
      <c r="B46" s="29" t="s">
        <v>154</v>
      </c>
      <c r="C46" s="28">
        <v>14956.08</v>
      </c>
      <c r="D46" s="28">
        <v>11878.16</v>
      </c>
      <c r="E46" s="28">
        <v>3077.92</v>
      </c>
      <c r="F46" s="28">
        <v>171886.18</v>
      </c>
      <c r="G46" s="28">
        <v>168494.59</v>
      </c>
      <c r="H46" s="28">
        <v>3391.59</v>
      </c>
    </row>
    <row r="47" spans="1:8" x14ac:dyDescent="0.25">
      <c r="A47" s="29" t="s">
        <v>268</v>
      </c>
      <c r="B47" s="29" t="s">
        <v>150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</row>
    <row r="48" spans="1:8" x14ac:dyDescent="0.25">
      <c r="A48" s="29" t="s">
        <v>267</v>
      </c>
      <c r="B48" s="29" t="s">
        <v>266</v>
      </c>
      <c r="C48" s="28">
        <v>763.31</v>
      </c>
      <c r="D48" s="28">
        <v>0</v>
      </c>
      <c r="E48" s="28">
        <v>763.31</v>
      </c>
      <c r="F48" s="28">
        <v>1741.24</v>
      </c>
      <c r="G48" s="28">
        <v>2043.19</v>
      </c>
      <c r="H48" s="27">
        <v>-301.95</v>
      </c>
    </row>
    <row r="49" spans="1:8" x14ac:dyDescent="0.25">
      <c r="A49" s="29" t="s">
        <v>265</v>
      </c>
      <c r="B49" s="29" t="s">
        <v>264</v>
      </c>
      <c r="C49" s="28">
        <v>53.29</v>
      </c>
      <c r="D49" s="28">
        <v>20.95</v>
      </c>
      <c r="E49" s="28">
        <v>32.340000000000003</v>
      </c>
      <c r="F49" s="28">
        <v>985.87</v>
      </c>
      <c r="G49" s="28">
        <v>2866.28</v>
      </c>
      <c r="H49" s="27">
        <v>-1880.41</v>
      </c>
    </row>
    <row r="50" spans="1:8" x14ac:dyDescent="0.25">
      <c r="A50" s="29" t="s">
        <v>263</v>
      </c>
      <c r="B50" s="29" t="s">
        <v>262</v>
      </c>
      <c r="C50" s="28">
        <v>4731.96</v>
      </c>
      <c r="D50" s="28">
        <v>1397.68</v>
      </c>
      <c r="E50" s="28">
        <v>3334.28</v>
      </c>
      <c r="F50" s="28">
        <v>29368.43</v>
      </c>
      <c r="G50" s="28">
        <v>20020.189999999999</v>
      </c>
      <c r="H50" s="28">
        <v>9348.24</v>
      </c>
    </row>
    <row r="51" spans="1:8" x14ac:dyDescent="0.25">
      <c r="A51" s="29" t="s">
        <v>261</v>
      </c>
      <c r="B51" s="29" t="s">
        <v>259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</row>
    <row r="52" spans="1:8" x14ac:dyDescent="0.25">
      <c r="A52" s="29" t="s">
        <v>260</v>
      </c>
      <c r="B52" s="29" t="s">
        <v>259</v>
      </c>
      <c r="C52" s="28">
        <v>1423.64</v>
      </c>
      <c r="D52" s="28">
        <v>1565</v>
      </c>
      <c r="E52" s="27">
        <v>-141.36000000000001</v>
      </c>
      <c r="F52" s="28">
        <v>18753.04</v>
      </c>
      <c r="G52" s="28">
        <v>19230.099999999999</v>
      </c>
      <c r="H52" s="27">
        <v>-477.06</v>
      </c>
    </row>
    <row r="53" spans="1:8" x14ac:dyDescent="0.25">
      <c r="A53" s="29" t="s">
        <v>258</v>
      </c>
      <c r="B53" s="29" t="s">
        <v>256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</row>
    <row r="54" spans="1:8" x14ac:dyDescent="0.25">
      <c r="A54" s="29" t="s">
        <v>257</v>
      </c>
      <c r="B54" s="29" t="s">
        <v>256</v>
      </c>
      <c r="C54" s="28">
        <v>0.84</v>
      </c>
      <c r="D54" s="27">
        <v>-197.35</v>
      </c>
      <c r="E54" s="28">
        <v>198.19</v>
      </c>
      <c r="F54" s="28">
        <v>757.8</v>
      </c>
      <c r="G54" s="28">
        <v>324.75</v>
      </c>
      <c r="H54" s="28">
        <v>433.05</v>
      </c>
    </row>
    <row r="55" spans="1:8" x14ac:dyDescent="0.25">
      <c r="A55" s="29" t="s">
        <v>255</v>
      </c>
      <c r="B55" s="29" t="s">
        <v>254</v>
      </c>
      <c r="C55" s="28">
        <v>0</v>
      </c>
      <c r="D55" s="28">
        <v>0</v>
      </c>
      <c r="E55" s="28">
        <v>0</v>
      </c>
      <c r="F55" s="28">
        <v>0</v>
      </c>
      <c r="G55" s="28">
        <v>335.33</v>
      </c>
      <c r="H55" s="27">
        <v>-335.33</v>
      </c>
    </row>
    <row r="56" spans="1:8" x14ac:dyDescent="0.25">
      <c r="A56" s="29" t="s">
        <v>253</v>
      </c>
      <c r="B56" s="29" t="s">
        <v>252</v>
      </c>
      <c r="C56" s="28">
        <v>55.93</v>
      </c>
      <c r="D56" s="28">
        <v>514.79999999999995</v>
      </c>
      <c r="E56" s="27">
        <v>-458.87</v>
      </c>
      <c r="F56" s="28">
        <v>17150.060000000001</v>
      </c>
      <c r="G56" s="28">
        <v>14864.2</v>
      </c>
      <c r="H56" s="28">
        <v>2285.86</v>
      </c>
    </row>
    <row r="57" spans="1:8" x14ac:dyDescent="0.25">
      <c r="A57" s="29" t="s">
        <v>251</v>
      </c>
      <c r="B57" s="29" t="s">
        <v>250</v>
      </c>
      <c r="C57" s="28">
        <v>704.81</v>
      </c>
      <c r="D57" s="28">
        <v>1950.58</v>
      </c>
      <c r="E57" s="27">
        <v>-1245.77</v>
      </c>
      <c r="F57" s="28">
        <v>1609.86</v>
      </c>
      <c r="G57" s="28">
        <v>3478.03</v>
      </c>
      <c r="H57" s="27">
        <v>-1868.17</v>
      </c>
    </row>
    <row r="58" spans="1:8" x14ac:dyDescent="0.25">
      <c r="A58" s="29" t="s">
        <v>249</v>
      </c>
      <c r="B58" s="29" t="s">
        <v>248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</row>
    <row r="59" spans="1:8" x14ac:dyDescent="0.25">
      <c r="A59" s="29" t="s">
        <v>247</v>
      </c>
      <c r="B59" s="29" t="s">
        <v>245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</row>
    <row r="60" spans="1:8" x14ac:dyDescent="0.25">
      <c r="A60" s="29" t="s">
        <v>246</v>
      </c>
      <c r="B60" s="29" t="s">
        <v>245</v>
      </c>
      <c r="C60" s="28">
        <v>7599.51</v>
      </c>
      <c r="D60" s="28">
        <v>1711.06</v>
      </c>
      <c r="E60" s="28">
        <v>5888.45</v>
      </c>
      <c r="F60" s="28">
        <v>48651.39</v>
      </c>
      <c r="G60" s="28">
        <v>27841.67</v>
      </c>
      <c r="H60" s="28">
        <v>20809.72</v>
      </c>
    </row>
    <row r="61" spans="1:8" x14ac:dyDescent="0.25">
      <c r="A61" s="29" t="s">
        <v>244</v>
      </c>
      <c r="B61" s="29" t="s">
        <v>243</v>
      </c>
      <c r="C61" s="28">
        <v>6479.63</v>
      </c>
      <c r="D61" s="28">
        <v>426.9</v>
      </c>
      <c r="E61" s="28">
        <v>6052.73</v>
      </c>
      <c r="F61" s="28">
        <v>9889.98</v>
      </c>
      <c r="G61" s="28">
        <v>6367.32</v>
      </c>
      <c r="H61" s="28">
        <v>3522.66</v>
      </c>
    </row>
    <row r="62" spans="1:8" x14ac:dyDescent="0.25">
      <c r="A62" s="29" t="s">
        <v>242</v>
      </c>
      <c r="B62" s="29" t="s">
        <v>241</v>
      </c>
      <c r="C62" s="28">
        <v>479.21</v>
      </c>
      <c r="D62" s="28">
        <v>132.32</v>
      </c>
      <c r="E62" s="28">
        <v>346.89</v>
      </c>
      <c r="F62" s="28">
        <v>19123.28</v>
      </c>
      <c r="G62" s="27">
        <v>-3408.06</v>
      </c>
      <c r="H62" s="28">
        <v>22531.34</v>
      </c>
    </row>
    <row r="63" spans="1:8" x14ac:dyDescent="0.25">
      <c r="A63" s="29" t="s">
        <v>240</v>
      </c>
      <c r="B63" s="29" t="s">
        <v>136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</row>
    <row r="64" spans="1:8" x14ac:dyDescent="0.25">
      <c r="A64" s="29" t="s">
        <v>239</v>
      </c>
      <c r="B64" s="29" t="s">
        <v>238</v>
      </c>
      <c r="C64" s="28">
        <v>0</v>
      </c>
      <c r="D64" s="28">
        <v>0</v>
      </c>
      <c r="E64" s="28">
        <v>0</v>
      </c>
      <c r="F64" s="28">
        <v>3286.62</v>
      </c>
      <c r="G64" s="28">
        <v>0</v>
      </c>
      <c r="H64" s="28">
        <v>3286.62</v>
      </c>
    </row>
    <row r="65" spans="1:8" x14ac:dyDescent="0.25">
      <c r="A65" s="29" t="s">
        <v>237</v>
      </c>
      <c r="B65" s="29" t="s">
        <v>236</v>
      </c>
      <c r="C65" s="28">
        <v>2616.81</v>
      </c>
      <c r="D65" s="28">
        <v>0</v>
      </c>
      <c r="E65" s="28">
        <v>2616.81</v>
      </c>
      <c r="F65" s="28">
        <v>9491.39</v>
      </c>
      <c r="G65" s="28">
        <v>8393.11</v>
      </c>
      <c r="H65" s="28">
        <v>1098.28</v>
      </c>
    </row>
    <row r="66" spans="1:8" x14ac:dyDescent="0.25">
      <c r="A66" s="29" t="s">
        <v>235</v>
      </c>
      <c r="B66" s="29" t="s">
        <v>234</v>
      </c>
      <c r="C66" s="28">
        <v>5214</v>
      </c>
      <c r="D66" s="28">
        <v>0</v>
      </c>
      <c r="E66" s="28">
        <v>5214</v>
      </c>
      <c r="F66" s="28">
        <v>14473.15</v>
      </c>
      <c r="G66" s="28">
        <v>20249.96</v>
      </c>
      <c r="H66" s="27">
        <v>-5776.81</v>
      </c>
    </row>
    <row r="67" spans="1:8" x14ac:dyDescent="0.25">
      <c r="A67" s="29" t="s">
        <v>233</v>
      </c>
      <c r="B67" s="29" t="s">
        <v>232</v>
      </c>
      <c r="C67" s="28">
        <v>59.92</v>
      </c>
      <c r="D67" s="28">
        <v>0</v>
      </c>
      <c r="E67" s="28">
        <v>59.92</v>
      </c>
      <c r="F67" s="28">
        <v>313.58999999999997</v>
      </c>
      <c r="G67" s="27">
        <v>-32.54</v>
      </c>
      <c r="H67" s="28">
        <v>346.13</v>
      </c>
    </row>
    <row r="68" spans="1:8" x14ac:dyDescent="0.25">
      <c r="A68" s="29" t="s">
        <v>231</v>
      </c>
      <c r="B68" s="29" t="s">
        <v>230</v>
      </c>
      <c r="C68" s="28">
        <v>5721</v>
      </c>
      <c r="D68" s="28">
        <v>4375</v>
      </c>
      <c r="E68" s="28">
        <v>1346</v>
      </c>
      <c r="F68" s="28">
        <v>9554.8799999999992</v>
      </c>
      <c r="G68" s="28">
        <v>9023</v>
      </c>
      <c r="H68" s="28">
        <v>531.88</v>
      </c>
    </row>
    <row r="69" spans="1:8" x14ac:dyDescent="0.25">
      <c r="A69" s="29" t="s">
        <v>229</v>
      </c>
      <c r="B69" s="29" t="s">
        <v>228</v>
      </c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</row>
    <row r="70" spans="1:8" x14ac:dyDescent="0.25">
      <c r="A70" s="29" t="s">
        <v>227</v>
      </c>
      <c r="B70" s="29" t="s">
        <v>226</v>
      </c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</row>
    <row r="71" spans="1:8" x14ac:dyDescent="0.25">
      <c r="A71" s="29" t="s">
        <v>225</v>
      </c>
      <c r="B71" s="29" t="s">
        <v>224</v>
      </c>
      <c r="C71" s="28">
        <v>1171.3</v>
      </c>
      <c r="D71" s="28">
        <v>125.8</v>
      </c>
      <c r="E71" s="28">
        <v>1045.5</v>
      </c>
      <c r="F71" s="28">
        <v>5015.05</v>
      </c>
      <c r="G71" s="28">
        <v>5547.42</v>
      </c>
      <c r="H71" s="27">
        <v>-532.37</v>
      </c>
    </row>
    <row r="72" spans="1:8" x14ac:dyDescent="0.25">
      <c r="A72" s="29" t="s">
        <v>223</v>
      </c>
      <c r="B72" s="29" t="s">
        <v>222</v>
      </c>
      <c r="C72" s="28">
        <v>0</v>
      </c>
      <c r="D72" s="28">
        <v>0</v>
      </c>
      <c r="E72" s="28">
        <v>0</v>
      </c>
      <c r="F72" s="28">
        <v>0</v>
      </c>
      <c r="G72" s="28">
        <v>500</v>
      </c>
      <c r="H72" s="27">
        <v>-500</v>
      </c>
    </row>
    <row r="73" spans="1:8" x14ac:dyDescent="0.25">
      <c r="A73" s="29" t="s">
        <v>221</v>
      </c>
      <c r="B73" s="29" t="s">
        <v>220</v>
      </c>
      <c r="C73" s="28">
        <v>5406.8</v>
      </c>
      <c r="D73" s="28">
        <v>3124.41</v>
      </c>
      <c r="E73" s="28">
        <v>2282.39</v>
      </c>
      <c r="F73" s="28">
        <v>56220.66</v>
      </c>
      <c r="G73" s="28">
        <v>74859.899999999994</v>
      </c>
      <c r="H73" s="27">
        <v>-18639.240000000002</v>
      </c>
    </row>
    <row r="74" spans="1:8" x14ac:dyDescent="0.25">
      <c r="A74" s="29" t="s">
        <v>219</v>
      </c>
      <c r="B74" s="29" t="s">
        <v>218</v>
      </c>
      <c r="C74" s="28">
        <v>0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</row>
    <row r="75" spans="1:8" x14ac:dyDescent="0.25">
      <c r="A75" s="29" t="s">
        <v>217</v>
      </c>
      <c r="B75" s="29" t="s">
        <v>104</v>
      </c>
      <c r="C75" s="28">
        <v>4888.79</v>
      </c>
      <c r="D75" s="28">
        <v>6554.86</v>
      </c>
      <c r="E75" s="27">
        <v>-1666.07</v>
      </c>
      <c r="F75" s="28">
        <v>47784.88</v>
      </c>
      <c r="G75" s="28">
        <v>44564.83</v>
      </c>
      <c r="H75" s="28">
        <v>3220.05</v>
      </c>
    </row>
    <row r="76" spans="1:8" x14ac:dyDescent="0.25">
      <c r="A76" s="29" t="s">
        <v>216</v>
      </c>
      <c r="B76" s="29" t="s">
        <v>104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</row>
    <row r="77" spans="1:8" x14ac:dyDescent="0.25">
      <c r="A77" s="29" t="s">
        <v>215</v>
      </c>
      <c r="B77" s="29" t="s">
        <v>102</v>
      </c>
      <c r="C77" s="28">
        <v>17716.759999999998</v>
      </c>
      <c r="D77" s="28">
        <v>12977.4</v>
      </c>
      <c r="E77" s="28">
        <v>4739.3599999999997</v>
      </c>
      <c r="F77" s="28">
        <v>83295.490000000005</v>
      </c>
      <c r="G77" s="28">
        <v>79460.36</v>
      </c>
      <c r="H77" s="28">
        <v>3835.13</v>
      </c>
    </row>
    <row r="78" spans="1:8" x14ac:dyDescent="0.25">
      <c r="A78" s="29" t="s">
        <v>214</v>
      </c>
      <c r="B78" s="29" t="s">
        <v>100</v>
      </c>
      <c r="C78" s="28">
        <v>2603</v>
      </c>
      <c r="D78" s="28">
        <v>2489.48</v>
      </c>
      <c r="E78" s="28">
        <v>113.52</v>
      </c>
      <c r="F78" s="28">
        <v>31236</v>
      </c>
      <c r="G78" s="28">
        <v>29874.31</v>
      </c>
      <c r="H78" s="28">
        <v>1361.69</v>
      </c>
    </row>
    <row r="79" spans="1:8" x14ac:dyDescent="0.25">
      <c r="A79" s="29" t="s">
        <v>213</v>
      </c>
      <c r="B79" s="29" t="s">
        <v>92</v>
      </c>
      <c r="C79" s="28">
        <v>4958.33</v>
      </c>
      <c r="D79" s="27">
        <v>-18657.66</v>
      </c>
      <c r="E79" s="28">
        <v>23615.99</v>
      </c>
      <c r="F79" s="28">
        <v>59498.98</v>
      </c>
      <c r="G79" s="28">
        <v>35884</v>
      </c>
      <c r="H79" s="28">
        <v>23614.98</v>
      </c>
    </row>
    <row r="80" spans="1:8" x14ac:dyDescent="0.25">
      <c r="A80" s="29"/>
      <c r="B80" s="29" t="s">
        <v>212</v>
      </c>
      <c r="C80" s="28">
        <v>587932.29</v>
      </c>
      <c r="D80" s="28">
        <v>450823.18</v>
      </c>
      <c r="E80" s="28">
        <v>137109.10999999999</v>
      </c>
      <c r="F80" s="28">
        <v>3953655.4</v>
      </c>
      <c r="G80" s="28">
        <v>4268109.7300000004</v>
      </c>
      <c r="H80" s="27">
        <v>-314454.33</v>
      </c>
    </row>
    <row r="81" spans="1:8" x14ac:dyDescent="0.25">
      <c r="B81" s="29" t="s">
        <v>51</v>
      </c>
    </row>
    <row r="82" spans="1:8" x14ac:dyDescent="0.25">
      <c r="A82" s="29"/>
      <c r="B82" s="29" t="s">
        <v>211</v>
      </c>
      <c r="C82" s="28">
        <v>544208.86</v>
      </c>
      <c r="D82" s="28">
        <v>644136.93999999994</v>
      </c>
      <c r="E82" s="27">
        <v>-99928.08</v>
      </c>
      <c r="F82" s="28">
        <v>2485929.27</v>
      </c>
      <c r="G82" s="28">
        <v>5221230.6500000004</v>
      </c>
      <c r="H82" s="27">
        <v>-2735301.38</v>
      </c>
    </row>
    <row r="83" spans="1:8" x14ac:dyDescent="0.25">
      <c r="B83" s="29" t="s">
        <v>51</v>
      </c>
    </row>
    <row r="84" spans="1:8" x14ac:dyDescent="0.25">
      <c r="B84" s="29" t="s">
        <v>210</v>
      </c>
    </row>
    <row r="85" spans="1:8" x14ac:dyDescent="0.25">
      <c r="A85" s="29" t="s">
        <v>209</v>
      </c>
      <c r="B85" s="29" t="s">
        <v>207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</row>
    <row r="86" spans="1:8" x14ac:dyDescent="0.25">
      <c r="A86" s="29" t="s">
        <v>208</v>
      </c>
      <c r="B86" s="29" t="s">
        <v>207</v>
      </c>
      <c r="C86" s="28">
        <v>39107.339999999997</v>
      </c>
      <c r="D86" s="28">
        <v>40073.269999999997</v>
      </c>
      <c r="E86" s="27">
        <v>-965.93</v>
      </c>
      <c r="F86" s="28">
        <v>444439.27</v>
      </c>
      <c r="G86" s="28">
        <v>439104.05</v>
      </c>
      <c r="H86" s="28">
        <v>5335.22</v>
      </c>
    </row>
    <row r="87" spans="1:8" x14ac:dyDescent="0.25">
      <c r="A87" s="29" t="s">
        <v>206</v>
      </c>
      <c r="B87" s="29" t="s">
        <v>90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x14ac:dyDescent="0.25">
      <c r="A88" s="29" t="s">
        <v>205</v>
      </c>
      <c r="B88" s="29" t="s">
        <v>90</v>
      </c>
      <c r="C88" s="28">
        <v>3651.78</v>
      </c>
      <c r="D88" s="27">
        <v>-1899.36</v>
      </c>
      <c r="E88" s="28">
        <v>5551.14</v>
      </c>
      <c r="F88" s="28">
        <v>41433.919999999998</v>
      </c>
      <c r="G88" s="28">
        <v>30982.959999999999</v>
      </c>
      <c r="H88" s="28">
        <v>10450.959999999999</v>
      </c>
    </row>
    <row r="89" spans="1:8" x14ac:dyDescent="0.25">
      <c r="A89" s="29" t="s">
        <v>204</v>
      </c>
      <c r="B89" s="29" t="s">
        <v>154</v>
      </c>
      <c r="C89" s="28">
        <v>0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</row>
    <row r="90" spans="1:8" x14ac:dyDescent="0.25">
      <c r="A90" s="29" t="s">
        <v>203</v>
      </c>
      <c r="B90" s="29" t="s">
        <v>154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</row>
    <row r="91" spans="1:8" x14ac:dyDescent="0.25">
      <c r="A91" s="29" t="s">
        <v>202</v>
      </c>
      <c r="B91" s="29" t="s">
        <v>154</v>
      </c>
      <c r="C91" s="28">
        <v>1499.54</v>
      </c>
      <c r="D91" s="28">
        <v>2068</v>
      </c>
      <c r="E91" s="27">
        <v>-568.46</v>
      </c>
      <c r="F91" s="28">
        <v>27586.400000000001</v>
      </c>
      <c r="G91" s="28">
        <v>26710.15</v>
      </c>
      <c r="H91" s="28">
        <v>876.25</v>
      </c>
    </row>
    <row r="92" spans="1:8" x14ac:dyDescent="0.25">
      <c r="A92" s="29" t="s">
        <v>201</v>
      </c>
      <c r="B92" s="29" t="s">
        <v>88</v>
      </c>
      <c r="C92" s="28">
        <v>2201.79</v>
      </c>
      <c r="D92" s="28">
        <v>0</v>
      </c>
      <c r="E92" s="28">
        <v>2201.79</v>
      </c>
      <c r="F92" s="28">
        <v>38269.629999999997</v>
      </c>
      <c r="G92" s="28">
        <v>19785.29</v>
      </c>
      <c r="H92" s="28">
        <v>18484.34</v>
      </c>
    </row>
    <row r="93" spans="1:8" x14ac:dyDescent="0.25">
      <c r="A93" s="29" t="s">
        <v>200</v>
      </c>
      <c r="B93" s="29" t="s">
        <v>88</v>
      </c>
      <c r="C93" s="28">
        <v>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</row>
    <row r="94" spans="1:8" x14ac:dyDescent="0.25">
      <c r="A94" s="29" t="s">
        <v>199</v>
      </c>
      <c r="B94" s="29" t="s">
        <v>144</v>
      </c>
      <c r="C94" s="28">
        <v>0</v>
      </c>
      <c r="D94" s="28">
        <v>0</v>
      </c>
      <c r="E94" s="28">
        <v>0</v>
      </c>
      <c r="F94" s="28">
        <v>5507.4</v>
      </c>
      <c r="G94" s="28">
        <v>1486.42</v>
      </c>
      <c r="H94" s="28">
        <v>4020.98</v>
      </c>
    </row>
    <row r="95" spans="1:8" x14ac:dyDescent="0.25">
      <c r="A95" s="29" t="s">
        <v>198</v>
      </c>
      <c r="B95" s="29" t="s">
        <v>144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</row>
    <row r="96" spans="1:8" x14ac:dyDescent="0.25">
      <c r="A96" s="29" t="s">
        <v>197</v>
      </c>
      <c r="B96" s="29" t="s">
        <v>195</v>
      </c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</row>
    <row r="97" spans="1:8" x14ac:dyDescent="0.25">
      <c r="A97" s="29" t="s">
        <v>196</v>
      </c>
      <c r="B97" s="29" t="s">
        <v>195</v>
      </c>
      <c r="C97" s="28">
        <v>12295.24</v>
      </c>
      <c r="D97" s="28">
        <v>10355</v>
      </c>
      <c r="E97" s="28">
        <v>1940.24</v>
      </c>
      <c r="F97" s="28">
        <v>67303.91</v>
      </c>
      <c r="G97" s="28">
        <v>70364.740000000005</v>
      </c>
      <c r="H97" s="27">
        <v>-3060.83</v>
      </c>
    </row>
    <row r="98" spans="1:8" x14ac:dyDescent="0.25">
      <c r="A98" s="29" t="s">
        <v>194</v>
      </c>
      <c r="B98" s="29" t="s">
        <v>193</v>
      </c>
      <c r="C98" s="28">
        <v>0</v>
      </c>
      <c r="D98" s="28">
        <v>0</v>
      </c>
      <c r="E98" s="28">
        <v>0</v>
      </c>
      <c r="F98" s="28">
        <v>4328.7299999999996</v>
      </c>
      <c r="G98" s="28">
        <v>119.88</v>
      </c>
      <c r="H98" s="28">
        <v>4208.8500000000004</v>
      </c>
    </row>
    <row r="99" spans="1:8" x14ac:dyDescent="0.25">
      <c r="A99" s="29" t="s">
        <v>192</v>
      </c>
      <c r="B99" s="29" t="s">
        <v>191</v>
      </c>
      <c r="C99" s="28">
        <v>224.58</v>
      </c>
      <c r="D99" s="28">
        <v>224.58</v>
      </c>
      <c r="E99" s="28">
        <v>0</v>
      </c>
      <c r="F99" s="28">
        <v>2463.3000000000002</v>
      </c>
      <c r="G99" s="28">
        <v>1804.86</v>
      </c>
      <c r="H99" s="28">
        <v>658.44</v>
      </c>
    </row>
    <row r="100" spans="1:8" x14ac:dyDescent="0.25">
      <c r="A100" s="29" t="s">
        <v>190</v>
      </c>
      <c r="B100" s="29" t="s">
        <v>189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</row>
    <row r="101" spans="1:8" x14ac:dyDescent="0.25">
      <c r="A101" s="29" t="s">
        <v>188</v>
      </c>
      <c r="B101" s="29" t="s">
        <v>187</v>
      </c>
      <c r="C101" s="28">
        <v>9699.67</v>
      </c>
      <c r="D101" s="28">
        <v>2246.75</v>
      </c>
      <c r="E101" s="28">
        <v>7452.92</v>
      </c>
      <c r="F101" s="28">
        <v>28941.24</v>
      </c>
      <c r="G101" s="28">
        <v>3566.47</v>
      </c>
      <c r="H101" s="28">
        <v>25374.77</v>
      </c>
    </row>
    <row r="102" spans="1:8" x14ac:dyDescent="0.25">
      <c r="A102" s="29" t="s">
        <v>186</v>
      </c>
      <c r="B102" s="29" t="s">
        <v>185</v>
      </c>
      <c r="C102" s="28">
        <v>0</v>
      </c>
      <c r="D102" s="28">
        <v>0</v>
      </c>
      <c r="E102" s="28">
        <v>0</v>
      </c>
      <c r="F102" s="28">
        <v>4446.3999999999996</v>
      </c>
      <c r="G102" s="28">
        <v>2823.11</v>
      </c>
      <c r="H102" s="28">
        <v>1623.29</v>
      </c>
    </row>
    <row r="103" spans="1:8" x14ac:dyDescent="0.25">
      <c r="A103" s="29" t="s">
        <v>184</v>
      </c>
      <c r="B103" s="29" t="s">
        <v>183</v>
      </c>
      <c r="C103" s="28">
        <v>0</v>
      </c>
      <c r="D103" s="28">
        <v>0</v>
      </c>
      <c r="E103" s="28">
        <v>0</v>
      </c>
      <c r="F103" s="28">
        <v>292.60000000000002</v>
      </c>
      <c r="G103" s="28">
        <v>408.4</v>
      </c>
      <c r="H103" s="27">
        <v>-115.8</v>
      </c>
    </row>
    <row r="104" spans="1:8" x14ac:dyDescent="0.25">
      <c r="A104" s="29" t="s">
        <v>182</v>
      </c>
      <c r="B104" s="29" t="s">
        <v>181</v>
      </c>
      <c r="C104" s="28">
        <v>0</v>
      </c>
      <c r="D104" s="28">
        <v>0</v>
      </c>
      <c r="E104" s="28">
        <v>0</v>
      </c>
      <c r="F104" s="28">
        <v>0</v>
      </c>
      <c r="G104" s="28">
        <v>463.5</v>
      </c>
      <c r="H104" s="27">
        <v>-463.5</v>
      </c>
    </row>
    <row r="105" spans="1:8" x14ac:dyDescent="0.25">
      <c r="A105" s="29" t="s">
        <v>180</v>
      </c>
      <c r="B105" s="29" t="s">
        <v>179</v>
      </c>
      <c r="C105" s="28">
        <v>0</v>
      </c>
      <c r="D105" s="28">
        <v>307.16000000000003</v>
      </c>
      <c r="E105" s="27">
        <v>-307.16000000000003</v>
      </c>
      <c r="F105" s="28">
        <v>1696.48</v>
      </c>
      <c r="G105" s="28">
        <v>2923.22</v>
      </c>
      <c r="H105" s="27">
        <v>-1226.74</v>
      </c>
    </row>
    <row r="106" spans="1:8" x14ac:dyDescent="0.25">
      <c r="A106" s="29" t="s">
        <v>178</v>
      </c>
      <c r="B106" s="29" t="s">
        <v>177</v>
      </c>
      <c r="C106" s="28">
        <v>0</v>
      </c>
      <c r="D106" s="28">
        <v>67462.399999999994</v>
      </c>
      <c r="E106" s="27">
        <v>-67462.399999999994</v>
      </c>
      <c r="F106" s="28">
        <v>0</v>
      </c>
      <c r="G106" s="28">
        <v>67462.399999999994</v>
      </c>
      <c r="H106" s="27">
        <v>-67462.399999999994</v>
      </c>
    </row>
    <row r="107" spans="1:8" x14ac:dyDescent="0.25">
      <c r="A107" s="29" t="s">
        <v>176</v>
      </c>
      <c r="B107" s="29" t="s">
        <v>175</v>
      </c>
      <c r="C107" s="28">
        <v>0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</row>
    <row r="108" spans="1:8" x14ac:dyDescent="0.25">
      <c r="A108" s="29" t="s">
        <v>174</v>
      </c>
      <c r="B108" s="29" t="s">
        <v>173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</row>
    <row r="109" spans="1:8" x14ac:dyDescent="0.25">
      <c r="A109" s="29" t="s">
        <v>172</v>
      </c>
      <c r="B109" s="29" t="s">
        <v>171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</row>
    <row r="110" spans="1:8" x14ac:dyDescent="0.25">
      <c r="A110" s="29"/>
      <c r="B110" s="29" t="s">
        <v>170</v>
      </c>
      <c r="C110" s="28">
        <v>68679.94</v>
      </c>
      <c r="D110" s="28">
        <v>120837.8</v>
      </c>
      <c r="E110" s="27">
        <v>-52157.86</v>
      </c>
      <c r="F110" s="28">
        <v>666709.28</v>
      </c>
      <c r="G110" s="28">
        <v>668005.44999999995</v>
      </c>
      <c r="H110" s="27">
        <v>-1296.17</v>
      </c>
    </row>
    <row r="111" spans="1:8" x14ac:dyDescent="0.25">
      <c r="B111" s="29" t="s">
        <v>51</v>
      </c>
    </row>
    <row r="112" spans="1:8" x14ac:dyDescent="0.25">
      <c r="B112" s="29" t="s">
        <v>169</v>
      </c>
    </row>
    <row r="113" spans="1:8" x14ac:dyDescent="0.25">
      <c r="A113" s="29" t="s">
        <v>168</v>
      </c>
      <c r="B113" s="29" t="s">
        <v>166</v>
      </c>
      <c r="C113" s="28">
        <v>0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</row>
    <row r="114" spans="1:8" x14ac:dyDescent="0.25">
      <c r="A114" s="29" t="s">
        <v>167</v>
      </c>
      <c r="B114" s="29" t="s">
        <v>166</v>
      </c>
      <c r="C114" s="28">
        <v>31846.15</v>
      </c>
      <c r="D114" s="28">
        <v>32307.69</v>
      </c>
      <c r="E114" s="27">
        <v>-461.54</v>
      </c>
      <c r="F114" s="28">
        <v>355769.22</v>
      </c>
      <c r="G114" s="28">
        <v>352692.35</v>
      </c>
      <c r="H114" s="28">
        <v>3076.87</v>
      </c>
    </row>
    <row r="115" spans="1:8" x14ac:dyDescent="0.25">
      <c r="A115" s="29" t="s">
        <v>165</v>
      </c>
      <c r="B115" s="29" t="s">
        <v>163</v>
      </c>
      <c r="C115" s="28">
        <v>0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</row>
    <row r="116" spans="1:8" x14ac:dyDescent="0.25">
      <c r="A116" s="29" t="s">
        <v>164</v>
      </c>
      <c r="B116" s="29" t="s">
        <v>163</v>
      </c>
      <c r="C116" s="28">
        <v>30458.94</v>
      </c>
      <c r="D116" s="28">
        <v>33951.43</v>
      </c>
      <c r="E116" s="27">
        <v>-3492.49</v>
      </c>
      <c r="F116" s="28">
        <v>383959</v>
      </c>
      <c r="G116" s="28">
        <v>433109.65</v>
      </c>
      <c r="H116" s="27">
        <v>-49150.65</v>
      </c>
    </row>
    <row r="117" spans="1:8" x14ac:dyDescent="0.25">
      <c r="A117" s="29" t="s">
        <v>162</v>
      </c>
      <c r="B117" s="29" t="s">
        <v>160</v>
      </c>
      <c r="C117" s="28">
        <v>0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</row>
    <row r="118" spans="1:8" x14ac:dyDescent="0.25">
      <c r="A118" s="29" t="s">
        <v>161</v>
      </c>
      <c r="B118" s="29" t="s">
        <v>160</v>
      </c>
      <c r="C118" s="28">
        <v>15923.11</v>
      </c>
      <c r="D118" s="28">
        <v>16615.41</v>
      </c>
      <c r="E118" s="27">
        <v>-692.3</v>
      </c>
      <c r="F118" s="28">
        <v>180692.66</v>
      </c>
      <c r="G118" s="28">
        <v>181384.95999999999</v>
      </c>
      <c r="H118" s="27">
        <v>-692.3</v>
      </c>
    </row>
    <row r="119" spans="1:8" x14ac:dyDescent="0.25">
      <c r="A119" s="29" t="s">
        <v>159</v>
      </c>
      <c r="B119" s="29" t="s">
        <v>90</v>
      </c>
      <c r="C119" s="28">
        <v>0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</row>
    <row r="120" spans="1:8" x14ac:dyDescent="0.25">
      <c r="A120" s="29" t="s">
        <v>158</v>
      </c>
      <c r="B120" s="29" t="s">
        <v>90</v>
      </c>
      <c r="C120" s="28">
        <v>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</row>
    <row r="121" spans="1:8" x14ac:dyDescent="0.25">
      <c r="A121" s="29" t="s">
        <v>157</v>
      </c>
      <c r="B121" s="29" t="s">
        <v>90</v>
      </c>
      <c r="C121" s="28">
        <v>1839.01</v>
      </c>
      <c r="D121" s="28">
        <v>1701.57</v>
      </c>
      <c r="E121" s="28">
        <v>137.44</v>
      </c>
      <c r="F121" s="28">
        <v>39974.26</v>
      </c>
      <c r="G121" s="28">
        <v>25986</v>
      </c>
      <c r="H121" s="28">
        <v>13988.26</v>
      </c>
    </row>
    <row r="122" spans="1:8" x14ac:dyDescent="0.25">
      <c r="A122" s="29" t="s">
        <v>156</v>
      </c>
      <c r="B122" s="29" t="s">
        <v>154</v>
      </c>
      <c r="C122" s="28">
        <v>0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</row>
    <row r="123" spans="1:8" x14ac:dyDescent="0.25">
      <c r="A123" s="29" t="s">
        <v>155</v>
      </c>
      <c r="B123" s="29" t="s">
        <v>154</v>
      </c>
      <c r="C123" s="28">
        <v>4777.6099999999997</v>
      </c>
      <c r="D123" s="28">
        <v>4167.28</v>
      </c>
      <c r="E123" s="28">
        <v>610.33000000000004</v>
      </c>
      <c r="F123" s="28">
        <v>65842.600000000006</v>
      </c>
      <c r="G123" s="28">
        <v>65982.990000000005</v>
      </c>
      <c r="H123" s="27">
        <v>-140.38999999999999</v>
      </c>
    </row>
    <row r="124" spans="1:8" x14ac:dyDescent="0.25">
      <c r="A124" s="29" t="s">
        <v>153</v>
      </c>
      <c r="B124" s="29" t="s">
        <v>152</v>
      </c>
      <c r="C124" s="28">
        <v>1775.48</v>
      </c>
      <c r="D124" s="28">
        <v>1150.93</v>
      </c>
      <c r="E124" s="28">
        <v>624.54999999999995</v>
      </c>
      <c r="F124" s="28">
        <v>16704.73</v>
      </c>
      <c r="G124" s="28">
        <v>13809.79</v>
      </c>
      <c r="H124" s="28">
        <v>2894.94</v>
      </c>
    </row>
    <row r="125" spans="1:8" x14ac:dyDescent="0.25">
      <c r="A125" s="29" t="s">
        <v>151</v>
      </c>
      <c r="B125" s="29" t="s">
        <v>150</v>
      </c>
      <c r="C125" s="28">
        <v>0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</row>
    <row r="126" spans="1:8" x14ac:dyDescent="0.25">
      <c r="A126" s="29" t="s">
        <v>149</v>
      </c>
      <c r="B126" s="29" t="s">
        <v>88</v>
      </c>
      <c r="C126" s="28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</row>
    <row r="127" spans="1:8" x14ac:dyDescent="0.25">
      <c r="A127" s="29" t="s">
        <v>148</v>
      </c>
      <c r="B127" s="29" t="s">
        <v>88</v>
      </c>
      <c r="C127" s="28">
        <v>3241.32</v>
      </c>
      <c r="D127" s="28">
        <v>1642.14</v>
      </c>
      <c r="E127" s="28">
        <v>1599.18</v>
      </c>
      <c r="F127" s="28">
        <v>30593.200000000001</v>
      </c>
      <c r="G127" s="28">
        <v>24329.53</v>
      </c>
      <c r="H127" s="28">
        <v>6263.67</v>
      </c>
    </row>
    <row r="128" spans="1:8" x14ac:dyDescent="0.25">
      <c r="A128" s="29" t="s">
        <v>147</v>
      </c>
      <c r="B128" s="29" t="s">
        <v>88</v>
      </c>
      <c r="C128" s="28">
        <v>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</row>
    <row r="129" spans="1:8" x14ac:dyDescent="0.25">
      <c r="A129" s="29" t="s">
        <v>146</v>
      </c>
      <c r="B129" s="29" t="s">
        <v>144</v>
      </c>
      <c r="C129" s="28">
        <v>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</row>
    <row r="130" spans="1:8" x14ac:dyDescent="0.25">
      <c r="A130" s="29" t="s">
        <v>145</v>
      </c>
      <c r="B130" s="29" t="s">
        <v>144</v>
      </c>
      <c r="C130" s="28">
        <v>7873.29</v>
      </c>
      <c r="D130" s="28">
        <v>414.18</v>
      </c>
      <c r="E130" s="28">
        <v>7459.11</v>
      </c>
      <c r="F130" s="28">
        <v>23662.81</v>
      </c>
      <c r="G130" s="28">
        <v>12521.23</v>
      </c>
      <c r="H130" s="28">
        <v>11141.58</v>
      </c>
    </row>
    <row r="131" spans="1:8" x14ac:dyDescent="0.25">
      <c r="A131" s="29" t="s">
        <v>143</v>
      </c>
      <c r="B131" s="29" t="s">
        <v>142</v>
      </c>
      <c r="C131" s="28">
        <v>15150</v>
      </c>
      <c r="D131" s="28">
        <v>9950</v>
      </c>
      <c r="E131" s="28">
        <v>5200</v>
      </c>
      <c r="F131" s="28">
        <v>103600</v>
      </c>
      <c r="G131" s="28">
        <v>67950</v>
      </c>
      <c r="H131" s="28">
        <v>35650</v>
      </c>
    </row>
    <row r="132" spans="1:8" x14ac:dyDescent="0.25">
      <c r="A132" s="29" t="s">
        <v>141</v>
      </c>
      <c r="B132" s="29" t="s">
        <v>140</v>
      </c>
      <c r="C132" s="28">
        <v>9479.7000000000007</v>
      </c>
      <c r="D132" s="28">
        <v>0</v>
      </c>
      <c r="E132" s="28">
        <v>9479.7000000000007</v>
      </c>
      <c r="F132" s="28">
        <v>9479.7000000000007</v>
      </c>
      <c r="G132" s="28">
        <v>3452.5</v>
      </c>
      <c r="H132" s="28">
        <v>6027.2</v>
      </c>
    </row>
    <row r="133" spans="1:8" x14ac:dyDescent="0.25">
      <c r="A133" s="29" t="s">
        <v>139</v>
      </c>
      <c r="B133" s="29" t="s">
        <v>138</v>
      </c>
      <c r="C133" s="28">
        <v>0</v>
      </c>
      <c r="D133" s="28">
        <v>0</v>
      </c>
      <c r="E133" s="28">
        <v>0</v>
      </c>
      <c r="F133" s="28">
        <v>1100</v>
      </c>
      <c r="G133" s="28">
        <v>1750</v>
      </c>
      <c r="H133" s="27">
        <v>-650</v>
      </c>
    </row>
    <row r="134" spans="1:8" x14ac:dyDescent="0.25">
      <c r="A134" s="29" t="s">
        <v>137</v>
      </c>
      <c r="B134" s="29" t="s">
        <v>136</v>
      </c>
      <c r="C134" s="28">
        <v>0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</row>
    <row r="135" spans="1:8" x14ac:dyDescent="0.25">
      <c r="A135" s="29" t="s">
        <v>135</v>
      </c>
      <c r="B135" s="29" t="s">
        <v>134</v>
      </c>
      <c r="C135" s="28">
        <v>40323</v>
      </c>
      <c r="D135" s="28">
        <v>0</v>
      </c>
      <c r="E135" s="28">
        <v>40323</v>
      </c>
      <c r="F135" s="28">
        <v>53647.22</v>
      </c>
      <c r="G135" s="28">
        <v>6113.71</v>
      </c>
      <c r="H135" s="28">
        <v>47533.51</v>
      </c>
    </row>
    <row r="136" spans="1:8" x14ac:dyDescent="0.25">
      <c r="A136" s="29" t="s">
        <v>133</v>
      </c>
      <c r="B136" s="29" t="s">
        <v>132</v>
      </c>
      <c r="C136" s="28">
        <v>845.01</v>
      </c>
      <c r="D136" s="28">
        <v>1801.27</v>
      </c>
      <c r="E136" s="27">
        <v>-956.26</v>
      </c>
      <c r="F136" s="28">
        <v>10835.94</v>
      </c>
      <c r="G136" s="28">
        <v>10231.91</v>
      </c>
      <c r="H136" s="28">
        <v>604.03</v>
      </c>
    </row>
    <row r="137" spans="1:8" x14ac:dyDescent="0.25">
      <c r="A137" s="29" t="s">
        <v>131</v>
      </c>
      <c r="B137" s="29" t="s">
        <v>129</v>
      </c>
      <c r="C137" s="28">
        <v>0</v>
      </c>
      <c r="D137" s="28">
        <v>0</v>
      </c>
      <c r="E137" s="28">
        <v>0</v>
      </c>
      <c r="F137" s="28">
        <v>0</v>
      </c>
      <c r="G137" s="28">
        <v>0</v>
      </c>
      <c r="H137" s="28">
        <v>0</v>
      </c>
    </row>
    <row r="138" spans="1:8" x14ac:dyDescent="0.25">
      <c r="A138" s="29" t="s">
        <v>130</v>
      </c>
      <c r="B138" s="29" t="s">
        <v>129</v>
      </c>
      <c r="C138" s="28">
        <v>751.71</v>
      </c>
      <c r="D138" s="28">
        <v>299.27999999999997</v>
      </c>
      <c r="E138" s="28">
        <v>452.43</v>
      </c>
      <c r="F138" s="28">
        <v>61892.91</v>
      </c>
      <c r="G138" s="28">
        <v>31275.599999999999</v>
      </c>
      <c r="H138" s="28">
        <v>30617.31</v>
      </c>
    </row>
    <row r="139" spans="1:8" x14ac:dyDescent="0.25">
      <c r="A139" s="29" t="s">
        <v>128</v>
      </c>
      <c r="B139" s="29" t="s">
        <v>127</v>
      </c>
      <c r="C139" s="28">
        <v>750.5</v>
      </c>
      <c r="D139" s="28">
        <v>733.52</v>
      </c>
      <c r="E139" s="28">
        <v>16.98</v>
      </c>
      <c r="F139" s="28">
        <v>9276.98</v>
      </c>
      <c r="G139" s="28">
        <v>8023.21</v>
      </c>
      <c r="H139" s="28">
        <v>1253.77</v>
      </c>
    </row>
    <row r="140" spans="1:8" x14ac:dyDescent="0.25">
      <c r="A140" s="29" t="s">
        <v>126</v>
      </c>
      <c r="B140" s="29" t="s">
        <v>124</v>
      </c>
      <c r="C140" s="28">
        <v>0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</row>
    <row r="141" spans="1:8" x14ac:dyDescent="0.25">
      <c r="A141" s="29" t="s">
        <v>125</v>
      </c>
      <c r="B141" s="29" t="s">
        <v>124</v>
      </c>
      <c r="C141" s="28">
        <v>1672.27</v>
      </c>
      <c r="D141" s="28">
        <v>1648.59</v>
      </c>
      <c r="E141" s="28">
        <v>23.68</v>
      </c>
      <c r="F141" s="28">
        <v>10324.58</v>
      </c>
      <c r="G141" s="28">
        <v>7176.78</v>
      </c>
      <c r="H141" s="28">
        <v>3147.8</v>
      </c>
    </row>
    <row r="142" spans="1:8" x14ac:dyDescent="0.25">
      <c r="A142" s="29" t="s">
        <v>123</v>
      </c>
      <c r="B142" s="29" t="s">
        <v>121</v>
      </c>
      <c r="C142" s="28">
        <v>0</v>
      </c>
      <c r="D142" s="28">
        <v>0</v>
      </c>
      <c r="E142" s="28">
        <v>0</v>
      </c>
      <c r="F142" s="28">
        <v>0</v>
      </c>
      <c r="G142" s="28">
        <v>0</v>
      </c>
      <c r="H142" s="28">
        <v>0</v>
      </c>
    </row>
    <row r="143" spans="1:8" x14ac:dyDescent="0.25">
      <c r="A143" s="29" t="s">
        <v>122</v>
      </c>
      <c r="B143" s="29" t="s">
        <v>121</v>
      </c>
      <c r="C143" s="28">
        <v>2113.84</v>
      </c>
      <c r="D143" s="28">
        <v>29869.11</v>
      </c>
      <c r="E143" s="27">
        <v>-27755.27</v>
      </c>
      <c r="F143" s="28">
        <v>26559.06</v>
      </c>
      <c r="G143" s="28">
        <v>65394.36</v>
      </c>
      <c r="H143" s="27">
        <v>-38835.300000000003</v>
      </c>
    </row>
    <row r="144" spans="1:8" x14ac:dyDescent="0.25">
      <c r="A144" s="29" t="s">
        <v>120</v>
      </c>
      <c r="B144" s="29" t="s">
        <v>119</v>
      </c>
      <c r="C144" s="28">
        <v>1281.6099999999999</v>
      </c>
      <c r="D144" s="28">
        <v>1063.18</v>
      </c>
      <c r="E144" s="28">
        <v>218.43</v>
      </c>
      <c r="F144" s="28">
        <v>12265.41</v>
      </c>
      <c r="G144" s="28">
        <v>11246.43</v>
      </c>
      <c r="H144" s="28">
        <v>1018.98</v>
      </c>
    </row>
    <row r="145" spans="1:8" x14ac:dyDescent="0.25">
      <c r="A145" s="29" t="s">
        <v>118</v>
      </c>
      <c r="B145" s="29" t="s">
        <v>116</v>
      </c>
      <c r="C145" s="28">
        <v>0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</row>
    <row r="146" spans="1:8" x14ac:dyDescent="0.25">
      <c r="A146" s="29" t="s">
        <v>117</v>
      </c>
      <c r="B146" s="29" t="s">
        <v>116</v>
      </c>
      <c r="C146" s="28">
        <v>295.14</v>
      </c>
      <c r="D146" s="28">
        <v>497.01</v>
      </c>
      <c r="E146" s="27">
        <v>-201.87</v>
      </c>
      <c r="F146" s="28">
        <v>4901.88</v>
      </c>
      <c r="G146" s="28">
        <v>4879.75</v>
      </c>
      <c r="H146" s="28">
        <v>22.13</v>
      </c>
    </row>
    <row r="147" spans="1:8" x14ac:dyDescent="0.25">
      <c r="A147" s="29" t="s">
        <v>115</v>
      </c>
      <c r="B147" s="29" t="s">
        <v>113</v>
      </c>
      <c r="C147" s="28">
        <v>0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</row>
    <row r="148" spans="1:8" x14ac:dyDescent="0.25">
      <c r="A148" s="29" t="s">
        <v>114</v>
      </c>
      <c r="B148" s="29" t="s">
        <v>113</v>
      </c>
      <c r="C148" s="28">
        <v>3025</v>
      </c>
      <c r="D148" s="28">
        <v>3621</v>
      </c>
      <c r="E148" s="27">
        <v>-596</v>
      </c>
      <c r="F148" s="28">
        <v>4625.88</v>
      </c>
      <c r="G148" s="28">
        <v>4621</v>
      </c>
      <c r="H148" s="28">
        <v>4.88</v>
      </c>
    </row>
    <row r="149" spans="1:8" x14ac:dyDescent="0.25">
      <c r="A149" s="29" t="s">
        <v>112</v>
      </c>
      <c r="B149" s="29" t="s">
        <v>111</v>
      </c>
      <c r="C149" s="28">
        <v>1127.67</v>
      </c>
      <c r="D149" s="28">
        <v>1391.82</v>
      </c>
      <c r="E149" s="27">
        <v>-264.14999999999998</v>
      </c>
      <c r="F149" s="28">
        <v>6792.98</v>
      </c>
      <c r="G149" s="28">
        <v>6881.69</v>
      </c>
      <c r="H149" s="27">
        <v>-88.71</v>
      </c>
    </row>
    <row r="150" spans="1:8" x14ac:dyDescent="0.25">
      <c r="A150" s="29" t="s">
        <v>110</v>
      </c>
      <c r="B150" s="29" t="s">
        <v>109</v>
      </c>
      <c r="C150" s="28">
        <v>1560.05</v>
      </c>
      <c r="D150" s="28">
        <v>828.85</v>
      </c>
      <c r="E150" s="28">
        <v>731.2</v>
      </c>
      <c r="F150" s="28">
        <v>24618.18</v>
      </c>
      <c r="G150" s="28">
        <v>18276.330000000002</v>
      </c>
      <c r="H150" s="28">
        <v>6341.85</v>
      </c>
    </row>
    <row r="151" spans="1:8" x14ac:dyDescent="0.25">
      <c r="A151" s="29" t="s">
        <v>108</v>
      </c>
      <c r="B151" s="29" t="s">
        <v>106</v>
      </c>
      <c r="C151" s="28">
        <v>0</v>
      </c>
      <c r="D151" s="28">
        <v>0</v>
      </c>
      <c r="E151" s="28">
        <v>0</v>
      </c>
      <c r="F151" s="28">
        <v>0</v>
      </c>
      <c r="G151" s="28">
        <v>0</v>
      </c>
      <c r="H151" s="28">
        <v>0</v>
      </c>
    </row>
    <row r="152" spans="1:8" x14ac:dyDescent="0.25">
      <c r="A152" s="29" t="s">
        <v>107</v>
      </c>
      <c r="B152" s="29" t="s">
        <v>106</v>
      </c>
      <c r="C152" s="28">
        <v>50</v>
      </c>
      <c r="D152" s="28">
        <v>35</v>
      </c>
      <c r="E152" s="28">
        <v>15</v>
      </c>
      <c r="F152" s="28">
        <v>576</v>
      </c>
      <c r="G152" s="28">
        <v>317.56</v>
      </c>
      <c r="H152" s="28">
        <v>258.44</v>
      </c>
    </row>
    <row r="153" spans="1:8" x14ac:dyDescent="0.25">
      <c r="A153" s="29" t="s">
        <v>105</v>
      </c>
      <c r="B153" s="29" t="s">
        <v>104</v>
      </c>
      <c r="C153" s="28">
        <v>791.54</v>
      </c>
      <c r="D153" s="28">
        <v>1997.62</v>
      </c>
      <c r="E153" s="27">
        <v>-1206.08</v>
      </c>
      <c r="F153" s="28">
        <v>6689.36</v>
      </c>
      <c r="G153" s="28">
        <v>7864.37</v>
      </c>
      <c r="H153" s="27">
        <v>-1175.01</v>
      </c>
    </row>
    <row r="154" spans="1:8" x14ac:dyDescent="0.25">
      <c r="A154" s="29" t="s">
        <v>103</v>
      </c>
      <c r="B154" s="29" t="s">
        <v>102</v>
      </c>
      <c r="C154" s="28">
        <v>6800.42</v>
      </c>
      <c r="D154" s="28">
        <v>2242.41</v>
      </c>
      <c r="E154" s="28">
        <v>4558.01</v>
      </c>
      <c r="F154" s="28">
        <v>22301.62</v>
      </c>
      <c r="G154" s="28">
        <v>18738.759999999998</v>
      </c>
      <c r="H154" s="28">
        <v>3562.86</v>
      </c>
    </row>
    <row r="155" spans="1:8" x14ac:dyDescent="0.25">
      <c r="A155" s="29" t="s">
        <v>101</v>
      </c>
      <c r="B155" s="29" t="s">
        <v>100</v>
      </c>
      <c r="C155" s="28">
        <v>459.36</v>
      </c>
      <c r="D155" s="28">
        <v>439.34</v>
      </c>
      <c r="E155" s="28">
        <v>20.02</v>
      </c>
      <c r="F155" s="28">
        <v>5512.32</v>
      </c>
      <c r="G155" s="28">
        <v>5272.03</v>
      </c>
      <c r="H155" s="28">
        <v>240.29</v>
      </c>
    </row>
    <row r="156" spans="1:8" x14ac:dyDescent="0.25">
      <c r="A156" s="29" t="s">
        <v>99</v>
      </c>
      <c r="B156" s="29" t="s">
        <v>98</v>
      </c>
      <c r="C156" s="28">
        <v>250000</v>
      </c>
      <c r="D156" s="28">
        <v>125000</v>
      </c>
      <c r="E156" s="28">
        <v>125000</v>
      </c>
      <c r="F156" s="28">
        <v>250000</v>
      </c>
      <c r="G156" s="28">
        <v>250000</v>
      </c>
      <c r="H156" s="28">
        <v>0</v>
      </c>
    </row>
    <row r="157" spans="1:8" x14ac:dyDescent="0.25">
      <c r="A157" s="29" t="s">
        <v>97</v>
      </c>
      <c r="B157" s="29" t="s">
        <v>96</v>
      </c>
      <c r="C157" s="28">
        <v>0</v>
      </c>
      <c r="D157" s="28">
        <v>0</v>
      </c>
      <c r="E157" s="28">
        <v>0</v>
      </c>
      <c r="F157" s="28">
        <v>5730</v>
      </c>
      <c r="G157" s="28">
        <v>5730</v>
      </c>
      <c r="H157" s="28">
        <v>0</v>
      </c>
    </row>
    <row r="158" spans="1:8" x14ac:dyDescent="0.25">
      <c r="A158" s="29" t="s">
        <v>95</v>
      </c>
      <c r="B158" s="29" t="s">
        <v>94</v>
      </c>
      <c r="C158" s="28">
        <v>0</v>
      </c>
      <c r="D158" s="28">
        <v>270.87</v>
      </c>
      <c r="E158" s="27">
        <v>-270.87</v>
      </c>
      <c r="F158" s="28">
        <v>1625.22</v>
      </c>
      <c r="G158" s="28">
        <v>3230.84</v>
      </c>
      <c r="H158" s="27">
        <v>-1605.62</v>
      </c>
    </row>
    <row r="159" spans="1:8" x14ac:dyDescent="0.25">
      <c r="A159" s="29" t="s">
        <v>93</v>
      </c>
      <c r="B159" s="29" t="s">
        <v>92</v>
      </c>
      <c r="C159" s="28">
        <v>875</v>
      </c>
      <c r="D159" s="27">
        <v>-3293</v>
      </c>
      <c r="E159" s="28">
        <v>4168</v>
      </c>
      <c r="F159" s="28">
        <v>10500</v>
      </c>
      <c r="G159" s="28">
        <v>6332</v>
      </c>
      <c r="H159" s="28">
        <v>4168</v>
      </c>
    </row>
    <row r="160" spans="1:8" x14ac:dyDescent="0.25">
      <c r="A160" s="29" t="s">
        <v>91</v>
      </c>
      <c r="B160" s="29" t="s">
        <v>90</v>
      </c>
      <c r="C160" s="28">
        <v>0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</row>
    <row r="161" spans="1:8" x14ac:dyDescent="0.25">
      <c r="A161" s="29" t="s">
        <v>89</v>
      </c>
      <c r="B161" s="29" t="s">
        <v>88</v>
      </c>
      <c r="C161" s="28">
        <v>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</row>
    <row r="162" spans="1:8" x14ac:dyDescent="0.25">
      <c r="A162" s="29"/>
      <c r="B162" s="29" t="s">
        <v>87</v>
      </c>
      <c r="C162" s="28">
        <v>435086.73</v>
      </c>
      <c r="D162" s="28">
        <v>270346.5</v>
      </c>
      <c r="E162" s="28">
        <v>164740.23000000001</v>
      </c>
      <c r="F162" s="28">
        <v>1740053.72</v>
      </c>
      <c r="G162" s="28">
        <v>1654575.33</v>
      </c>
      <c r="H162" s="28">
        <v>85478.39</v>
      </c>
    </row>
    <row r="163" spans="1:8" x14ac:dyDescent="0.25">
      <c r="B163" s="29" t="s">
        <v>51</v>
      </c>
    </row>
    <row r="164" spans="1:8" x14ac:dyDescent="0.25">
      <c r="B164" s="29" t="s">
        <v>86</v>
      </c>
    </row>
    <row r="165" spans="1:8" x14ac:dyDescent="0.25">
      <c r="A165" s="29" t="s">
        <v>85</v>
      </c>
      <c r="B165" s="29" t="s">
        <v>84</v>
      </c>
      <c r="C165" s="28">
        <v>0</v>
      </c>
      <c r="D165" s="28">
        <v>1.72</v>
      </c>
      <c r="E165" s="27">
        <v>-1.72</v>
      </c>
      <c r="F165" s="28">
        <v>66.17</v>
      </c>
      <c r="G165" s="28">
        <v>292</v>
      </c>
      <c r="H165" s="27">
        <v>-225.83</v>
      </c>
    </row>
    <row r="166" spans="1:8" x14ac:dyDescent="0.25">
      <c r="A166" s="29" t="s">
        <v>83</v>
      </c>
      <c r="B166" s="29" t="s">
        <v>82</v>
      </c>
      <c r="C166" s="28">
        <v>541.39</v>
      </c>
      <c r="D166" s="28">
        <v>1140.71</v>
      </c>
      <c r="E166" s="27">
        <v>-599.32000000000005</v>
      </c>
      <c r="F166" s="28">
        <v>12237.54</v>
      </c>
      <c r="G166" s="28">
        <v>5058.88</v>
      </c>
      <c r="H166" s="28">
        <v>7178.66</v>
      </c>
    </row>
    <row r="167" spans="1:8" x14ac:dyDescent="0.25">
      <c r="A167" s="29" t="s">
        <v>81</v>
      </c>
      <c r="B167" s="29" t="s">
        <v>80</v>
      </c>
      <c r="C167" s="28">
        <v>0.96</v>
      </c>
      <c r="D167" s="28">
        <v>0.19</v>
      </c>
      <c r="E167" s="28">
        <v>0.77</v>
      </c>
      <c r="F167" s="28">
        <v>1.84</v>
      </c>
      <c r="G167" s="28">
        <v>987.66</v>
      </c>
      <c r="H167" s="27">
        <v>-985.82</v>
      </c>
    </row>
    <row r="168" spans="1:8" x14ac:dyDescent="0.25">
      <c r="A168" s="29" t="s">
        <v>79</v>
      </c>
      <c r="B168" s="29" t="s">
        <v>78</v>
      </c>
      <c r="C168" s="28">
        <v>0</v>
      </c>
      <c r="D168" s="28">
        <v>0</v>
      </c>
      <c r="E168" s="28">
        <v>0</v>
      </c>
      <c r="F168" s="28">
        <v>0</v>
      </c>
      <c r="G168" s="28">
        <v>0</v>
      </c>
      <c r="H168" s="28">
        <v>0</v>
      </c>
    </row>
    <row r="169" spans="1:8" x14ac:dyDescent="0.25">
      <c r="A169" s="29" t="s">
        <v>77</v>
      </c>
      <c r="B169" s="29" t="s">
        <v>76</v>
      </c>
      <c r="C169" s="28">
        <v>5872.84</v>
      </c>
      <c r="D169" s="28">
        <v>5501.65</v>
      </c>
      <c r="E169" s="28">
        <v>371.19</v>
      </c>
      <c r="F169" s="28">
        <v>23926.14</v>
      </c>
      <c r="G169" s="28">
        <v>27040.94</v>
      </c>
      <c r="H169" s="27">
        <v>-3114.8</v>
      </c>
    </row>
    <row r="170" spans="1:8" x14ac:dyDescent="0.25">
      <c r="A170" s="29" t="s">
        <v>75</v>
      </c>
      <c r="B170" s="29" t="s">
        <v>74</v>
      </c>
      <c r="C170" s="28">
        <v>0</v>
      </c>
      <c r="D170" s="28">
        <v>0</v>
      </c>
      <c r="E170" s="28">
        <v>0</v>
      </c>
      <c r="F170" s="28">
        <v>0</v>
      </c>
      <c r="G170" s="28">
        <v>0</v>
      </c>
      <c r="H170" s="28">
        <v>0</v>
      </c>
    </row>
    <row r="171" spans="1:8" x14ac:dyDescent="0.25">
      <c r="A171" s="29" t="s">
        <v>73</v>
      </c>
      <c r="B171" s="29" t="s">
        <v>72</v>
      </c>
      <c r="C171" s="28">
        <v>0</v>
      </c>
      <c r="D171" s="28">
        <v>68223.210000000006</v>
      </c>
      <c r="E171" s="27">
        <v>-68223.210000000006</v>
      </c>
      <c r="F171" s="28">
        <v>0</v>
      </c>
      <c r="G171" s="28">
        <v>68042.19</v>
      </c>
      <c r="H171" s="27">
        <v>-68042.19</v>
      </c>
    </row>
    <row r="172" spans="1:8" x14ac:dyDescent="0.25">
      <c r="A172" s="29" t="s">
        <v>71</v>
      </c>
      <c r="B172" s="29" t="s">
        <v>70</v>
      </c>
      <c r="C172" s="28">
        <v>0</v>
      </c>
      <c r="D172" s="28">
        <v>0</v>
      </c>
      <c r="E172" s="28">
        <v>0</v>
      </c>
      <c r="F172" s="28">
        <v>0</v>
      </c>
      <c r="G172" s="28">
        <v>10000</v>
      </c>
      <c r="H172" s="27">
        <v>-10000</v>
      </c>
    </row>
    <row r="173" spans="1:8" x14ac:dyDescent="0.25">
      <c r="A173" s="29" t="s">
        <v>69</v>
      </c>
      <c r="B173" s="29" t="s">
        <v>68</v>
      </c>
      <c r="C173" s="28">
        <v>0</v>
      </c>
      <c r="D173" s="28">
        <v>32736.3</v>
      </c>
      <c r="E173" s="27">
        <v>-32736.3</v>
      </c>
      <c r="F173" s="28">
        <v>4611.41</v>
      </c>
      <c r="G173" s="28">
        <v>32736.3</v>
      </c>
      <c r="H173" s="27">
        <v>-28124.89</v>
      </c>
    </row>
    <row r="174" spans="1:8" x14ac:dyDescent="0.25">
      <c r="A174" s="29" t="s">
        <v>67</v>
      </c>
      <c r="B174" s="29" t="s">
        <v>66</v>
      </c>
      <c r="C174" s="28">
        <v>0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</row>
    <row r="175" spans="1:8" x14ac:dyDescent="0.25">
      <c r="A175" s="29" t="s">
        <v>65</v>
      </c>
      <c r="B175" s="29" t="s">
        <v>64</v>
      </c>
      <c r="C175" s="28">
        <v>0</v>
      </c>
      <c r="D175" s="28">
        <v>0</v>
      </c>
      <c r="E175" s="28">
        <v>0</v>
      </c>
      <c r="F175" s="28">
        <v>0</v>
      </c>
      <c r="G175" s="28">
        <v>0</v>
      </c>
      <c r="H175" s="28">
        <v>0</v>
      </c>
    </row>
    <row r="176" spans="1:8" x14ac:dyDescent="0.25">
      <c r="A176" s="29" t="s">
        <v>63</v>
      </c>
      <c r="B176" s="29" t="s">
        <v>62</v>
      </c>
      <c r="C176" s="28">
        <v>38.299999999999997</v>
      </c>
      <c r="D176" s="28">
        <v>1227.32</v>
      </c>
      <c r="E176" s="27">
        <v>-1189.02</v>
      </c>
      <c r="F176" s="28">
        <v>0</v>
      </c>
      <c r="G176" s="28">
        <v>0</v>
      </c>
      <c r="H176" s="28">
        <v>0</v>
      </c>
    </row>
    <row r="177" spans="1:8" x14ac:dyDescent="0.25">
      <c r="A177" s="29"/>
      <c r="B177" s="29" t="s">
        <v>61</v>
      </c>
      <c r="C177" s="28">
        <v>6453.49</v>
      </c>
      <c r="D177" s="28">
        <v>108831.1</v>
      </c>
      <c r="E177" s="27">
        <v>-102377.61</v>
      </c>
      <c r="F177" s="28">
        <v>40843.1</v>
      </c>
      <c r="G177" s="28">
        <v>144157.97</v>
      </c>
      <c r="H177" s="27">
        <v>-103314.87</v>
      </c>
    </row>
    <row r="178" spans="1:8" x14ac:dyDescent="0.25">
      <c r="B178" s="29" t="s">
        <v>51</v>
      </c>
    </row>
    <row r="179" spans="1:8" x14ac:dyDescent="0.25">
      <c r="A179" s="29"/>
      <c r="B179" s="29" t="s">
        <v>60</v>
      </c>
      <c r="C179" s="28">
        <v>46895.68</v>
      </c>
      <c r="D179" s="28">
        <v>361783.74</v>
      </c>
      <c r="E179" s="27">
        <v>-314888.06</v>
      </c>
      <c r="F179" s="28">
        <v>120009.37</v>
      </c>
      <c r="G179" s="28">
        <v>3042807.84</v>
      </c>
      <c r="H179" s="27">
        <v>-2922798.47</v>
      </c>
    </row>
    <row r="180" spans="1:8" x14ac:dyDescent="0.25">
      <c r="B180" s="29" t="s">
        <v>51</v>
      </c>
    </row>
    <row r="181" spans="1:8" x14ac:dyDescent="0.25">
      <c r="B181" s="29" t="s">
        <v>59</v>
      </c>
    </row>
    <row r="182" spans="1:8" x14ac:dyDescent="0.25">
      <c r="A182" s="29" t="s">
        <v>58</v>
      </c>
      <c r="B182" s="29" t="s">
        <v>57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</row>
    <row r="183" spans="1:8" x14ac:dyDescent="0.25">
      <c r="A183" s="29" t="s">
        <v>56</v>
      </c>
      <c r="B183" s="29" t="s">
        <v>55</v>
      </c>
      <c r="C183" s="28">
        <v>0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</row>
    <row r="184" spans="1:8" x14ac:dyDescent="0.25">
      <c r="A184" s="29" t="s">
        <v>54</v>
      </c>
      <c r="B184" s="29" t="s">
        <v>53</v>
      </c>
      <c r="C184" s="28">
        <v>0</v>
      </c>
      <c r="D184" s="28">
        <v>0</v>
      </c>
      <c r="E184" s="28">
        <v>0</v>
      </c>
      <c r="F184" s="28">
        <v>25</v>
      </c>
      <c r="G184" s="28">
        <v>25</v>
      </c>
      <c r="H184" s="28">
        <v>0</v>
      </c>
    </row>
    <row r="185" spans="1:8" x14ac:dyDescent="0.25">
      <c r="A185" s="29"/>
      <c r="B185" s="29" t="s">
        <v>52</v>
      </c>
      <c r="C185" s="28">
        <v>0</v>
      </c>
      <c r="D185" s="28">
        <v>0</v>
      </c>
      <c r="E185" s="28">
        <v>0</v>
      </c>
      <c r="F185" s="28">
        <v>25</v>
      </c>
      <c r="G185" s="28">
        <v>25</v>
      </c>
      <c r="H185" s="28">
        <v>0</v>
      </c>
    </row>
    <row r="186" spans="1:8" x14ac:dyDescent="0.25">
      <c r="B186" s="29" t="s">
        <v>51</v>
      </c>
    </row>
    <row r="187" spans="1:8" x14ac:dyDescent="0.25">
      <c r="A187" s="29"/>
      <c r="B187" s="29" t="s">
        <v>50</v>
      </c>
      <c r="C187" s="28">
        <v>46895.68</v>
      </c>
      <c r="D187" s="28">
        <v>361783.74</v>
      </c>
      <c r="E187" s="27">
        <v>-314888.06</v>
      </c>
      <c r="F187" s="28">
        <v>119984.37</v>
      </c>
      <c r="G187" s="28">
        <v>3042782.84</v>
      </c>
      <c r="H187" s="27">
        <v>-2922798.47</v>
      </c>
    </row>
  </sheetData>
  <pageMargins left="0.75" right="0.75" top="1.5" bottom="1" header="0.5" footer="0.5"/>
  <pageSetup orientation="portrait"/>
  <headerFooter alignWithMargins="0">
    <oddHeader xml:space="preserve">&amp;C American Aerospace Controls Inc.
INCOME STATEMENT
FOR PERIOD ENDING:  12/31/2021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2588-86A9-4729-A071-59265172A4CB}">
  <dimension ref="A1:H187"/>
  <sheetViews>
    <sheetView showGridLines="0" workbookViewId="0"/>
  </sheetViews>
  <sheetFormatPr defaultRowHeight="12.5" x14ac:dyDescent="0.25"/>
  <cols>
    <col min="1" max="1" width="13.7265625" style="26" customWidth="1"/>
    <col min="2" max="2" width="40.7265625" style="26" customWidth="1"/>
    <col min="3" max="4" width="16.7265625" style="26" customWidth="1"/>
    <col min="5" max="8" width="14.7265625" style="26" customWidth="1"/>
    <col min="9" max="256" width="9.1796875" style="26" customWidth="1"/>
    <col min="257" max="16384" width="8.7265625" style="26"/>
  </cols>
  <sheetData>
    <row r="1" spans="1:8" x14ac:dyDescent="0.25">
      <c r="A1" s="29" t="s">
        <v>342</v>
      </c>
      <c r="B1" s="29" t="s">
        <v>341</v>
      </c>
      <c r="C1" s="29" t="s">
        <v>340</v>
      </c>
      <c r="D1" s="29" t="s">
        <v>340</v>
      </c>
      <c r="E1" s="29" t="s">
        <v>337</v>
      </c>
      <c r="F1" s="29" t="s">
        <v>339</v>
      </c>
      <c r="G1" s="29" t="s">
        <v>338</v>
      </c>
      <c r="H1" s="29" t="s">
        <v>337</v>
      </c>
    </row>
    <row r="2" spans="1:8" x14ac:dyDescent="0.25">
      <c r="A2" s="29" t="s">
        <v>2</v>
      </c>
      <c r="B2" s="29" t="s">
        <v>2</v>
      </c>
      <c r="C2" s="29" t="s">
        <v>2</v>
      </c>
      <c r="D2" s="29" t="s">
        <v>336</v>
      </c>
      <c r="E2" s="29" t="s">
        <v>2</v>
      </c>
      <c r="F2" s="29" t="s">
        <v>2</v>
      </c>
      <c r="G2" s="29" t="s">
        <v>336</v>
      </c>
      <c r="H2" s="29" t="s">
        <v>2</v>
      </c>
    </row>
    <row r="3" spans="1:8" x14ac:dyDescent="0.25">
      <c r="B3" s="29" t="s">
        <v>335</v>
      </c>
    </row>
    <row r="4" spans="1:8" x14ac:dyDescent="0.25">
      <c r="A4" s="29" t="s">
        <v>334</v>
      </c>
      <c r="B4" s="29" t="s">
        <v>332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</row>
    <row r="5" spans="1:8" x14ac:dyDescent="0.25">
      <c r="A5" s="29" t="s">
        <v>333</v>
      </c>
      <c r="B5" s="29" t="s">
        <v>332</v>
      </c>
      <c r="C5" s="28">
        <v>515796.36</v>
      </c>
      <c r="D5" s="28">
        <v>1125166.1499999999</v>
      </c>
      <c r="E5" s="27">
        <v>-609369.79</v>
      </c>
      <c r="F5" s="28">
        <v>9119442.8599999994</v>
      </c>
      <c r="G5" s="28">
        <v>6435117.25</v>
      </c>
      <c r="H5" s="28">
        <v>2684325.61</v>
      </c>
    </row>
    <row r="6" spans="1:8" x14ac:dyDescent="0.25">
      <c r="A6" s="29" t="s">
        <v>331</v>
      </c>
      <c r="B6" s="29" t="s">
        <v>330</v>
      </c>
      <c r="C6" s="28">
        <v>0</v>
      </c>
      <c r="D6" s="28">
        <v>0</v>
      </c>
      <c r="E6" s="28">
        <v>0</v>
      </c>
      <c r="F6" s="27">
        <v>-2493</v>
      </c>
      <c r="G6" s="28">
        <v>0</v>
      </c>
      <c r="H6" s="27">
        <v>-2493</v>
      </c>
    </row>
    <row r="7" spans="1:8" x14ac:dyDescent="0.25">
      <c r="A7" s="29" t="s">
        <v>329</v>
      </c>
      <c r="B7" s="29" t="s">
        <v>322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</row>
    <row r="8" spans="1:8" x14ac:dyDescent="0.25">
      <c r="A8" s="29" t="s">
        <v>328</v>
      </c>
      <c r="B8" s="29" t="s">
        <v>322</v>
      </c>
      <c r="C8" s="28">
        <v>0</v>
      </c>
      <c r="D8" s="28">
        <v>6300</v>
      </c>
      <c r="E8" s="27">
        <v>-6300</v>
      </c>
      <c r="F8" s="28">
        <v>0</v>
      </c>
      <c r="G8" s="27">
        <v>-5.7</v>
      </c>
      <c r="H8" s="28">
        <v>5.7</v>
      </c>
    </row>
    <row r="9" spans="1:8" x14ac:dyDescent="0.25">
      <c r="A9" s="29" t="s">
        <v>327</v>
      </c>
      <c r="B9" s="29" t="s">
        <v>326</v>
      </c>
      <c r="C9" s="28">
        <v>510</v>
      </c>
      <c r="D9" s="28">
        <v>675</v>
      </c>
      <c r="E9" s="27">
        <v>-165</v>
      </c>
      <c r="F9" s="28">
        <v>4845</v>
      </c>
      <c r="G9" s="28">
        <v>4473.12</v>
      </c>
      <c r="H9" s="28">
        <v>371.88</v>
      </c>
    </row>
    <row r="10" spans="1:8" x14ac:dyDescent="0.25">
      <c r="A10" s="29" t="s">
        <v>325</v>
      </c>
      <c r="B10" s="29" t="s">
        <v>324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</row>
    <row r="11" spans="1:8" x14ac:dyDescent="0.25">
      <c r="A11" s="29" t="s">
        <v>323</v>
      </c>
      <c r="B11" s="29" t="s">
        <v>322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</row>
    <row r="12" spans="1:8" x14ac:dyDescent="0.25">
      <c r="A12" s="29"/>
      <c r="B12" s="29" t="s">
        <v>321</v>
      </c>
      <c r="C12" s="28">
        <v>516306.36</v>
      </c>
      <c r="D12" s="28">
        <v>1132141.1499999999</v>
      </c>
      <c r="E12" s="27">
        <v>-615834.79</v>
      </c>
      <c r="F12" s="28">
        <v>9121794.8599999994</v>
      </c>
      <c r="G12" s="28">
        <v>6439584.6699999999</v>
      </c>
      <c r="H12" s="28">
        <v>2682210.19</v>
      </c>
    </row>
    <row r="13" spans="1:8" x14ac:dyDescent="0.25">
      <c r="B13" s="29" t="s">
        <v>51</v>
      </c>
    </row>
    <row r="14" spans="1:8" x14ac:dyDescent="0.25">
      <c r="B14" s="29" t="s">
        <v>320</v>
      </c>
    </row>
    <row r="15" spans="1:8" x14ac:dyDescent="0.25">
      <c r="A15" s="29" t="s">
        <v>319</v>
      </c>
      <c r="B15" s="29" t="s">
        <v>318</v>
      </c>
      <c r="C15" s="28">
        <v>439243.06</v>
      </c>
      <c r="D15" s="28">
        <v>189511.51</v>
      </c>
      <c r="E15" s="28">
        <v>249731.55</v>
      </c>
      <c r="F15" s="28">
        <v>1228571.71</v>
      </c>
      <c r="G15" s="28">
        <v>718236.62</v>
      </c>
      <c r="H15" s="28">
        <v>510335.09</v>
      </c>
    </row>
    <row r="16" spans="1:8" x14ac:dyDescent="0.25">
      <c r="A16" s="29" t="s">
        <v>317</v>
      </c>
      <c r="B16" s="29" t="s">
        <v>316</v>
      </c>
      <c r="C16" s="28">
        <v>30516.799999999999</v>
      </c>
      <c r="D16" s="28">
        <v>29407.01</v>
      </c>
      <c r="E16" s="28">
        <v>1109.79</v>
      </c>
      <c r="F16" s="28">
        <v>393804.13</v>
      </c>
      <c r="G16" s="28">
        <v>258832.28</v>
      </c>
      <c r="H16" s="28">
        <v>134971.85</v>
      </c>
    </row>
    <row r="17" spans="1:8" x14ac:dyDescent="0.25">
      <c r="A17" s="29" t="s">
        <v>315</v>
      </c>
      <c r="B17" s="29" t="s">
        <v>314</v>
      </c>
      <c r="C17" s="28">
        <v>45772.59</v>
      </c>
      <c r="D17" s="28">
        <v>44154.87</v>
      </c>
      <c r="E17" s="28">
        <v>1617.72</v>
      </c>
      <c r="F17" s="28">
        <v>592796.68000000005</v>
      </c>
      <c r="G17" s="28">
        <v>389969.4</v>
      </c>
      <c r="H17" s="28">
        <v>202827.28</v>
      </c>
    </row>
    <row r="18" spans="1:8" x14ac:dyDescent="0.25">
      <c r="A18" s="29" t="s">
        <v>313</v>
      </c>
      <c r="B18" s="29" t="s">
        <v>312</v>
      </c>
      <c r="C18" s="28">
        <v>6833.06</v>
      </c>
      <c r="D18" s="28">
        <v>13578.35</v>
      </c>
      <c r="E18" s="27">
        <v>-6745.29</v>
      </c>
      <c r="F18" s="28">
        <v>126329.18</v>
      </c>
      <c r="G18" s="28">
        <v>100914.86</v>
      </c>
      <c r="H18" s="28">
        <v>25414.32</v>
      </c>
    </row>
    <row r="19" spans="1:8" x14ac:dyDescent="0.25">
      <c r="A19" s="29" t="s">
        <v>311</v>
      </c>
      <c r="B19" s="29" t="s">
        <v>310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</row>
    <row r="20" spans="1:8" x14ac:dyDescent="0.25">
      <c r="A20" s="29" t="s">
        <v>309</v>
      </c>
      <c r="B20" s="29" t="s">
        <v>308</v>
      </c>
      <c r="C20" s="27">
        <v>-777.09</v>
      </c>
      <c r="D20" s="27">
        <v>-356.64</v>
      </c>
      <c r="E20" s="27">
        <v>-420.45</v>
      </c>
      <c r="F20" s="27">
        <v>-21117.57</v>
      </c>
      <c r="G20" s="27">
        <v>-4234.42</v>
      </c>
      <c r="H20" s="27">
        <v>-16883.150000000001</v>
      </c>
    </row>
    <row r="21" spans="1:8" x14ac:dyDescent="0.25">
      <c r="A21" s="29" t="s">
        <v>307</v>
      </c>
      <c r="B21" s="29" t="s">
        <v>306</v>
      </c>
      <c r="C21" s="27">
        <v>-232.1</v>
      </c>
      <c r="D21" s="28">
        <v>42577.59</v>
      </c>
      <c r="E21" s="27">
        <v>-42809.69</v>
      </c>
      <c r="F21" s="28">
        <v>41613.85</v>
      </c>
      <c r="G21" s="28">
        <v>60556.480000000003</v>
      </c>
      <c r="H21" s="27">
        <v>-18942.63</v>
      </c>
    </row>
    <row r="22" spans="1:8" x14ac:dyDescent="0.25">
      <c r="A22" s="29" t="s">
        <v>305</v>
      </c>
      <c r="B22" s="29" t="s">
        <v>304</v>
      </c>
      <c r="C22" s="28">
        <v>1902.39</v>
      </c>
      <c r="D22" s="28">
        <v>3004.8</v>
      </c>
      <c r="E22" s="27">
        <v>-1102.4100000000001</v>
      </c>
      <c r="F22" s="28">
        <v>11957.31</v>
      </c>
      <c r="G22" s="28">
        <v>7268.77</v>
      </c>
      <c r="H22" s="28">
        <v>4688.54</v>
      </c>
    </row>
    <row r="23" spans="1:8" x14ac:dyDescent="0.25">
      <c r="A23" s="29" t="s">
        <v>303</v>
      </c>
      <c r="B23" s="29" t="s">
        <v>302</v>
      </c>
      <c r="C23" s="28">
        <v>0</v>
      </c>
      <c r="D23" s="28">
        <v>0</v>
      </c>
      <c r="E23" s="28">
        <v>0</v>
      </c>
      <c r="F23" s="28">
        <v>3958.38</v>
      </c>
      <c r="G23" s="28">
        <v>24</v>
      </c>
      <c r="H23" s="28">
        <v>3934.38</v>
      </c>
    </row>
    <row r="24" spans="1:8" x14ac:dyDescent="0.25">
      <c r="A24" s="29" t="s">
        <v>301</v>
      </c>
      <c r="B24" s="29" t="s">
        <v>300</v>
      </c>
      <c r="C24" s="28">
        <v>0</v>
      </c>
      <c r="D24" s="28">
        <v>92.21</v>
      </c>
      <c r="E24" s="27">
        <v>-92.21</v>
      </c>
      <c r="F24" s="28">
        <v>0</v>
      </c>
      <c r="G24" s="28">
        <v>92.21</v>
      </c>
      <c r="H24" s="27">
        <v>-92.21</v>
      </c>
    </row>
    <row r="25" spans="1:8" x14ac:dyDescent="0.25">
      <c r="A25" s="29" t="s">
        <v>299</v>
      </c>
      <c r="B25" s="29" t="s">
        <v>298</v>
      </c>
      <c r="C25" s="27">
        <v>-15951.04</v>
      </c>
      <c r="D25" s="27">
        <v>-38068.43</v>
      </c>
      <c r="E25" s="28">
        <v>22117.39</v>
      </c>
      <c r="F25" s="27">
        <v>-359500.48</v>
      </c>
      <c r="G25" s="27">
        <v>-331068.86</v>
      </c>
      <c r="H25" s="27">
        <v>-28431.62</v>
      </c>
    </row>
    <row r="26" spans="1:8" x14ac:dyDescent="0.25">
      <c r="A26" s="29" t="s">
        <v>297</v>
      </c>
      <c r="B26" s="29" t="s">
        <v>296</v>
      </c>
      <c r="C26" s="27">
        <v>-23859.17</v>
      </c>
      <c r="D26" s="27">
        <v>-48486.57</v>
      </c>
      <c r="E26" s="28">
        <v>24627.4</v>
      </c>
      <c r="F26" s="27">
        <v>-508443.17</v>
      </c>
      <c r="G26" s="27">
        <v>-449332.59</v>
      </c>
      <c r="H26" s="27">
        <v>-59110.58</v>
      </c>
    </row>
    <row r="27" spans="1:8" x14ac:dyDescent="0.25">
      <c r="A27" s="29" t="s">
        <v>295</v>
      </c>
      <c r="B27" s="29" t="s">
        <v>294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</row>
    <row r="28" spans="1:8" x14ac:dyDescent="0.25">
      <c r="A28" s="29" t="s">
        <v>293</v>
      </c>
      <c r="B28" s="29" t="s">
        <v>292</v>
      </c>
      <c r="C28" s="28">
        <v>62950.18</v>
      </c>
      <c r="D28" s="28">
        <v>83195.16</v>
      </c>
      <c r="E28" s="27">
        <v>-20244.98</v>
      </c>
      <c r="F28" s="28">
        <v>787731.87</v>
      </c>
      <c r="G28" s="28">
        <v>717907.79</v>
      </c>
      <c r="H28" s="28">
        <v>69824.08</v>
      </c>
    </row>
    <row r="29" spans="1:8" x14ac:dyDescent="0.25">
      <c r="A29" s="29" t="s">
        <v>291</v>
      </c>
      <c r="B29" s="29" t="s">
        <v>287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</row>
    <row r="30" spans="1:8" x14ac:dyDescent="0.25">
      <c r="A30" s="29" t="s">
        <v>290</v>
      </c>
      <c r="B30" s="29" t="s">
        <v>287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</row>
    <row r="31" spans="1:8" x14ac:dyDescent="0.25">
      <c r="A31" s="29" t="s">
        <v>289</v>
      </c>
      <c r="B31" s="29" t="s">
        <v>287</v>
      </c>
      <c r="C31" s="28">
        <v>22357.84</v>
      </c>
      <c r="D31" s="28">
        <v>28281.599999999999</v>
      </c>
      <c r="E31" s="27">
        <v>-5923.76</v>
      </c>
      <c r="F31" s="28">
        <v>241099.93</v>
      </c>
      <c r="G31" s="28">
        <v>241638.72</v>
      </c>
      <c r="H31" s="27">
        <v>-538.79</v>
      </c>
    </row>
    <row r="32" spans="1:8" x14ac:dyDescent="0.25">
      <c r="A32" s="29" t="s">
        <v>288</v>
      </c>
      <c r="B32" s="29" t="s">
        <v>287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</row>
    <row r="33" spans="1:8" x14ac:dyDescent="0.25">
      <c r="A33" s="29" t="s">
        <v>286</v>
      </c>
      <c r="B33" s="29" t="s">
        <v>284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</row>
    <row r="34" spans="1:8" x14ac:dyDescent="0.25">
      <c r="A34" s="29" t="s">
        <v>285</v>
      </c>
      <c r="B34" s="29" t="s">
        <v>284</v>
      </c>
      <c r="C34" s="28">
        <v>27246.15</v>
      </c>
      <c r="D34" s="28">
        <v>26953.48</v>
      </c>
      <c r="E34" s="28">
        <v>292.67</v>
      </c>
      <c r="F34" s="28">
        <v>286273.09000000003</v>
      </c>
      <c r="G34" s="28">
        <v>316633.03000000003</v>
      </c>
      <c r="H34" s="27">
        <v>-30359.94</v>
      </c>
    </row>
    <row r="35" spans="1:8" x14ac:dyDescent="0.25">
      <c r="A35" s="29" t="s">
        <v>283</v>
      </c>
      <c r="B35" s="29" t="s">
        <v>280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</row>
    <row r="36" spans="1:8" x14ac:dyDescent="0.25">
      <c r="A36" s="29" t="s">
        <v>282</v>
      </c>
      <c r="B36" s="29" t="s">
        <v>280</v>
      </c>
      <c r="C36" s="28">
        <v>68208.56</v>
      </c>
      <c r="D36" s="28">
        <v>74665</v>
      </c>
      <c r="E36" s="27">
        <v>-6456.44</v>
      </c>
      <c r="F36" s="28">
        <v>796833.22</v>
      </c>
      <c r="G36" s="28">
        <v>760120</v>
      </c>
      <c r="H36" s="28">
        <v>36713.22</v>
      </c>
    </row>
    <row r="37" spans="1:8" x14ac:dyDescent="0.25">
      <c r="A37" s="29" t="s">
        <v>281</v>
      </c>
      <c r="B37" s="29" t="s">
        <v>280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 x14ac:dyDescent="0.25">
      <c r="A38" s="29" t="s">
        <v>279</v>
      </c>
      <c r="B38" s="29" t="s">
        <v>276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x14ac:dyDescent="0.25">
      <c r="A39" s="29" t="s">
        <v>278</v>
      </c>
      <c r="B39" s="29" t="s">
        <v>276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</row>
    <row r="40" spans="1:8" x14ac:dyDescent="0.25">
      <c r="A40" s="29" t="s">
        <v>277</v>
      </c>
      <c r="B40" s="29" t="s">
        <v>276</v>
      </c>
      <c r="C40" s="28">
        <v>22653.05</v>
      </c>
      <c r="D40" s="28">
        <v>24616.86</v>
      </c>
      <c r="E40" s="27">
        <v>-1963.81</v>
      </c>
      <c r="F40" s="28">
        <v>251567.64</v>
      </c>
      <c r="G40" s="28">
        <v>232985.97</v>
      </c>
      <c r="H40" s="28">
        <v>18581.669999999998</v>
      </c>
    </row>
    <row r="41" spans="1:8" x14ac:dyDescent="0.25">
      <c r="A41" s="29" t="s">
        <v>275</v>
      </c>
      <c r="B41" s="29" t="s">
        <v>274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</row>
    <row r="42" spans="1:8" x14ac:dyDescent="0.25">
      <c r="A42" s="29" t="s">
        <v>273</v>
      </c>
      <c r="B42" s="29" t="s">
        <v>90</v>
      </c>
      <c r="C42" s="28">
        <v>0</v>
      </c>
      <c r="D42" s="28">
        <v>0</v>
      </c>
      <c r="E42" s="28">
        <v>0</v>
      </c>
      <c r="F42" s="28">
        <v>0</v>
      </c>
      <c r="G42" s="27">
        <v>-3117.28</v>
      </c>
      <c r="H42" s="28">
        <v>3117.28</v>
      </c>
    </row>
    <row r="43" spans="1:8" x14ac:dyDescent="0.25">
      <c r="A43" s="29" t="s">
        <v>272</v>
      </c>
      <c r="B43" s="29" t="s">
        <v>90</v>
      </c>
      <c r="C43" s="28">
        <v>29278.54</v>
      </c>
      <c r="D43" s="28">
        <v>27200.57</v>
      </c>
      <c r="E43" s="28">
        <v>2077.9699999999998</v>
      </c>
      <c r="F43" s="28">
        <v>326682.67</v>
      </c>
      <c r="G43" s="28">
        <v>296140.59999999998</v>
      </c>
      <c r="H43" s="28">
        <v>30542.07</v>
      </c>
    </row>
    <row r="44" spans="1:8" x14ac:dyDescent="0.25">
      <c r="A44" s="29" t="s">
        <v>271</v>
      </c>
      <c r="B44" s="29" t="s">
        <v>154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</row>
    <row r="45" spans="1:8" x14ac:dyDescent="0.25">
      <c r="A45" s="29" t="s">
        <v>270</v>
      </c>
      <c r="B45" s="29" t="s">
        <v>154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</row>
    <row r="46" spans="1:8" x14ac:dyDescent="0.25">
      <c r="A46" s="29" t="s">
        <v>269</v>
      </c>
      <c r="B46" s="29" t="s">
        <v>154</v>
      </c>
      <c r="C46" s="28">
        <v>13208.65</v>
      </c>
      <c r="D46" s="28">
        <v>14956.08</v>
      </c>
      <c r="E46" s="27">
        <v>-1747.43</v>
      </c>
      <c r="F46" s="28">
        <v>176254.86</v>
      </c>
      <c r="G46" s="28">
        <v>171886.18</v>
      </c>
      <c r="H46" s="28">
        <v>4368.68</v>
      </c>
    </row>
    <row r="47" spans="1:8" x14ac:dyDescent="0.25">
      <c r="A47" s="29" t="s">
        <v>268</v>
      </c>
      <c r="B47" s="29" t="s">
        <v>150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</row>
    <row r="48" spans="1:8" x14ac:dyDescent="0.25">
      <c r="A48" s="29" t="s">
        <v>267</v>
      </c>
      <c r="B48" s="29" t="s">
        <v>266</v>
      </c>
      <c r="C48" s="28">
        <v>0</v>
      </c>
      <c r="D48" s="28">
        <v>763.31</v>
      </c>
      <c r="E48" s="27">
        <v>-763.31</v>
      </c>
      <c r="F48" s="28">
        <v>408.67</v>
      </c>
      <c r="G48" s="28">
        <v>1741.24</v>
      </c>
      <c r="H48" s="27">
        <v>-1332.57</v>
      </c>
    </row>
    <row r="49" spans="1:8" x14ac:dyDescent="0.25">
      <c r="A49" s="29" t="s">
        <v>265</v>
      </c>
      <c r="B49" s="29" t="s">
        <v>264</v>
      </c>
      <c r="C49" s="27">
        <v>-37</v>
      </c>
      <c r="D49" s="28">
        <v>53.29</v>
      </c>
      <c r="E49" s="27">
        <v>-90.29</v>
      </c>
      <c r="F49" s="28">
        <v>290.27999999999997</v>
      </c>
      <c r="G49" s="28">
        <v>985.87</v>
      </c>
      <c r="H49" s="27">
        <v>-695.59</v>
      </c>
    </row>
    <row r="50" spans="1:8" x14ac:dyDescent="0.25">
      <c r="A50" s="29" t="s">
        <v>263</v>
      </c>
      <c r="B50" s="29" t="s">
        <v>262</v>
      </c>
      <c r="C50" s="28">
        <v>44.84</v>
      </c>
      <c r="D50" s="28">
        <v>4731.96</v>
      </c>
      <c r="E50" s="27">
        <v>-4687.12</v>
      </c>
      <c r="F50" s="28">
        <v>20717.34</v>
      </c>
      <c r="G50" s="28">
        <v>29368.43</v>
      </c>
      <c r="H50" s="27">
        <v>-8651.09</v>
      </c>
    </row>
    <row r="51" spans="1:8" x14ac:dyDescent="0.25">
      <c r="A51" s="29" t="s">
        <v>261</v>
      </c>
      <c r="B51" s="29" t="s">
        <v>259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</row>
    <row r="52" spans="1:8" x14ac:dyDescent="0.25">
      <c r="A52" s="29" t="s">
        <v>260</v>
      </c>
      <c r="B52" s="29" t="s">
        <v>259</v>
      </c>
      <c r="C52" s="28">
        <v>1375.95</v>
      </c>
      <c r="D52" s="28">
        <v>1423.64</v>
      </c>
      <c r="E52" s="27">
        <v>-47.69</v>
      </c>
      <c r="F52" s="28">
        <v>20929.27</v>
      </c>
      <c r="G52" s="28">
        <v>18753.04</v>
      </c>
      <c r="H52" s="28">
        <v>2176.23</v>
      </c>
    </row>
    <row r="53" spans="1:8" x14ac:dyDescent="0.25">
      <c r="A53" s="29" t="s">
        <v>258</v>
      </c>
      <c r="B53" s="29" t="s">
        <v>256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</row>
    <row r="54" spans="1:8" x14ac:dyDescent="0.25">
      <c r="A54" s="29" t="s">
        <v>257</v>
      </c>
      <c r="B54" s="29" t="s">
        <v>256</v>
      </c>
      <c r="C54" s="28">
        <v>459.12</v>
      </c>
      <c r="D54" s="28">
        <v>0.84</v>
      </c>
      <c r="E54" s="28">
        <v>458.28</v>
      </c>
      <c r="F54" s="27">
        <v>-3263.04</v>
      </c>
      <c r="G54" s="28">
        <v>757.8</v>
      </c>
      <c r="H54" s="27">
        <v>-4020.84</v>
      </c>
    </row>
    <row r="55" spans="1:8" x14ac:dyDescent="0.25">
      <c r="A55" s="29" t="s">
        <v>255</v>
      </c>
      <c r="B55" s="29" t="s">
        <v>254</v>
      </c>
      <c r="C55" s="28">
        <v>1340.04</v>
      </c>
      <c r="D55" s="28">
        <v>0</v>
      </c>
      <c r="E55" s="28">
        <v>1340.04</v>
      </c>
      <c r="F55" s="28">
        <v>5104.6000000000004</v>
      </c>
      <c r="G55" s="28">
        <v>0</v>
      </c>
      <c r="H55" s="28">
        <v>5104.6000000000004</v>
      </c>
    </row>
    <row r="56" spans="1:8" x14ac:dyDescent="0.25">
      <c r="A56" s="29" t="s">
        <v>253</v>
      </c>
      <c r="B56" s="29" t="s">
        <v>252</v>
      </c>
      <c r="C56" s="28">
        <v>0</v>
      </c>
      <c r="D56" s="28">
        <v>55.93</v>
      </c>
      <c r="E56" s="27">
        <v>-55.93</v>
      </c>
      <c r="F56" s="28">
        <v>15057.46</v>
      </c>
      <c r="G56" s="28">
        <v>17150.060000000001</v>
      </c>
      <c r="H56" s="27">
        <v>-2092.6</v>
      </c>
    </row>
    <row r="57" spans="1:8" x14ac:dyDescent="0.25">
      <c r="A57" s="29" t="s">
        <v>251</v>
      </c>
      <c r="B57" s="29" t="s">
        <v>250</v>
      </c>
      <c r="C57" s="28">
        <v>0</v>
      </c>
      <c r="D57" s="28">
        <v>704.81</v>
      </c>
      <c r="E57" s="27">
        <v>-704.81</v>
      </c>
      <c r="F57" s="28">
        <v>6385.62</v>
      </c>
      <c r="G57" s="28">
        <v>1609.86</v>
      </c>
      <c r="H57" s="28">
        <v>4775.76</v>
      </c>
    </row>
    <row r="58" spans="1:8" x14ac:dyDescent="0.25">
      <c r="A58" s="29" t="s">
        <v>249</v>
      </c>
      <c r="B58" s="29" t="s">
        <v>248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</row>
    <row r="59" spans="1:8" x14ac:dyDescent="0.25">
      <c r="A59" s="29" t="s">
        <v>247</v>
      </c>
      <c r="B59" s="29" t="s">
        <v>245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</row>
    <row r="60" spans="1:8" x14ac:dyDescent="0.25">
      <c r="A60" s="29" t="s">
        <v>246</v>
      </c>
      <c r="B60" s="29" t="s">
        <v>245</v>
      </c>
      <c r="C60" s="28">
        <v>1352.49</v>
      </c>
      <c r="D60" s="28">
        <v>7599.51</v>
      </c>
      <c r="E60" s="27">
        <v>-6247.02</v>
      </c>
      <c r="F60" s="28">
        <v>38072.720000000001</v>
      </c>
      <c r="G60" s="28">
        <v>48651.39</v>
      </c>
      <c r="H60" s="27">
        <v>-10578.67</v>
      </c>
    </row>
    <row r="61" spans="1:8" x14ac:dyDescent="0.25">
      <c r="A61" s="29" t="s">
        <v>244</v>
      </c>
      <c r="B61" s="29" t="s">
        <v>243</v>
      </c>
      <c r="C61" s="28">
        <v>84.66</v>
      </c>
      <c r="D61" s="28">
        <v>6479.63</v>
      </c>
      <c r="E61" s="27">
        <v>-6394.97</v>
      </c>
      <c r="F61" s="28">
        <v>5446.66</v>
      </c>
      <c r="G61" s="28">
        <v>9889.98</v>
      </c>
      <c r="H61" s="27">
        <v>-4443.32</v>
      </c>
    </row>
    <row r="62" spans="1:8" x14ac:dyDescent="0.25">
      <c r="A62" s="29" t="s">
        <v>242</v>
      </c>
      <c r="B62" s="29" t="s">
        <v>241</v>
      </c>
      <c r="C62" s="28">
        <v>10275.02</v>
      </c>
      <c r="D62" s="28">
        <v>479.21</v>
      </c>
      <c r="E62" s="28">
        <v>9795.81</v>
      </c>
      <c r="F62" s="28">
        <v>33849.86</v>
      </c>
      <c r="G62" s="28">
        <v>19123.28</v>
      </c>
      <c r="H62" s="28">
        <v>14726.58</v>
      </c>
    </row>
    <row r="63" spans="1:8" x14ac:dyDescent="0.25">
      <c r="A63" s="29" t="s">
        <v>240</v>
      </c>
      <c r="B63" s="29" t="s">
        <v>136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</row>
    <row r="64" spans="1:8" x14ac:dyDescent="0.25">
      <c r="A64" s="29" t="s">
        <v>239</v>
      </c>
      <c r="B64" s="29" t="s">
        <v>238</v>
      </c>
      <c r="C64" s="28">
        <v>0</v>
      </c>
      <c r="D64" s="28">
        <v>0</v>
      </c>
      <c r="E64" s="28">
        <v>0</v>
      </c>
      <c r="F64" s="28">
        <v>1775.26</v>
      </c>
      <c r="G64" s="28">
        <v>3286.62</v>
      </c>
      <c r="H64" s="27">
        <v>-1511.36</v>
      </c>
    </row>
    <row r="65" spans="1:8" x14ac:dyDescent="0.25">
      <c r="A65" s="29" t="s">
        <v>237</v>
      </c>
      <c r="B65" s="29" t="s">
        <v>236</v>
      </c>
      <c r="C65" s="28">
        <v>0</v>
      </c>
      <c r="D65" s="28">
        <v>2616.81</v>
      </c>
      <c r="E65" s="27">
        <v>-2616.81</v>
      </c>
      <c r="F65" s="28">
        <v>10276.44</v>
      </c>
      <c r="G65" s="28">
        <v>9491.39</v>
      </c>
      <c r="H65" s="28">
        <v>785.05</v>
      </c>
    </row>
    <row r="66" spans="1:8" x14ac:dyDescent="0.25">
      <c r="A66" s="29" t="s">
        <v>235</v>
      </c>
      <c r="B66" s="29" t="s">
        <v>234</v>
      </c>
      <c r="C66" s="27">
        <v>-86.89</v>
      </c>
      <c r="D66" s="28">
        <v>5214</v>
      </c>
      <c r="E66" s="27">
        <v>-5300.89</v>
      </c>
      <c r="F66" s="28">
        <v>28704.92</v>
      </c>
      <c r="G66" s="28">
        <v>14473.15</v>
      </c>
      <c r="H66" s="28">
        <v>14231.77</v>
      </c>
    </row>
    <row r="67" spans="1:8" x14ac:dyDescent="0.25">
      <c r="A67" s="29" t="s">
        <v>233</v>
      </c>
      <c r="B67" s="29" t="s">
        <v>232</v>
      </c>
      <c r="C67" s="28">
        <v>0</v>
      </c>
      <c r="D67" s="28">
        <v>59.92</v>
      </c>
      <c r="E67" s="27">
        <v>-59.92</v>
      </c>
      <c r="F67" s="28">
        <v>3072.9</v>
      </c>
      <c r="G67" s="28">
        <v>313.58999999999997</v>
      </c>
      <c r="H67" s="28">
        <v>2759.31</v>
      </c>
    </row>
    <row r="68" spans="1:8" x14ac:dyDescent="0.25">
      <c r="A68" s="29" t="s">
        <v>231</v>
      </c>
      <c r="B68" s="29" t="s">
        <v>230</v>
      </c>
      <c r="C68" s="28">
        <v>887.5</v>
      </c>
      <c r="D68" s="28">
        <v>5721</v>
      </c>
      <c r="E68" s="27">
        <v>-4833.5</v>
      </c>
      <c r="F68" s="28">
        <v>15675.97</v>
      </c>
      <c r="G68" s="28">
        <v>9554.8799999999992</v>
      </c>
      <c r="H68" s="28">
        <v>6121.09</v>
      </c>
    </row>
    <row r="69" spans="1:8" x14ac:dyDescent="0.25">
      <c r="A69" s="29" t="s">
        <v>229</v>
      </c>
      <c r="B69" s="29" t="s">
        <v>228</v>
      </c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</row>
    <row r="70" spans="1:8" x14ac:dyDescent="0.25">
      <c r="A70" s="29" t="s">
        <v>227</v>
      </c>
      <c r="B70" s="29" t="s">
        <v>226</v>
      </c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</row>
    <row r="71" spans="1:8" x14ac:dyDescent="0.25">
      <c r="A71" s="29" t="s">
        <v>225</v>
      </c>
      <c r="B71" s="29" t="s">
        <v>224</v>
      </c>
      <c r="C71" s="28">
        <v>0</v>
      </c>
      <c r="D71" s="28">
        <v>1171.3</v>
      </c>
      <c r="E71" s="27">
        <v>-1171.3</v>
      </c>
      <c r="F71" s="28">
        <v>5267.41</v>
      </c>
      <c r="G71" s="28">
        <v>5015.05</v>
      </c>
      <c r="H71" s="28">
        <v>252.36</v>
      </c>
    </row>
    <row r="72" spans="1:8" x14ac:dyDescent="0.25">
      <c r="A72" s="29" t="s">
        <v>223</v>
      </c>
      <c r="B72" s="29" t="s">
        <v>222</v>
      </c>
      <c r="C72" s="28">
        <v>0</v>
      </c>
      <c r="D72" s="28">
        <v>0</v>
      </c>
      <c r="E72" s="28">
        <v>0</v>
      </c>
      <c r="F72" s="28">
        <v>500</v>
      </c>
      <c r="G72" s="28">
        <v>0</v>
      </c>
      <c r="H72" s="28">
        <v>500</v>
      </c>
    </row>
    <row r="73" spans="1:8" x14ac:dyDescent="0.25">
      <c r="A73" s="29" t="s">
        <v>221</v>
      </c>
      <c r="B73" s="29" t="s">
        <v>220</v>
      </c>
      <c r="C73" s="28">
        <v>3340.05</v>
      </c>
      <c r="D73" s="28">
        <v>5406.8</v>
      </c>
      <c r="E73" s="27">
        <v>-2066.75</v>
      </c>
      <c r="F73" s="28">
        <v>79821.27</v>
      </c>
      <c r="G73" s="28">
        <v>56220.66</v>
      </c>
      <c r="H73" s="28">
        <v>23600.61</v>
      </c>
    </row>
    <row r="74" spans="1:8" x14ac:dyDescent="0.25">
      <c r="A74" s="29" t="s">
        <v>219</v>
      </c>
      <c r="B74" s="29" t="s">
        <v>218</v>
      </c>
      <c r="C74" s="28">
        <v>0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</row>
    <row r="75" spans="1:8" x14ac:dyDescent="0.25">
      <c r="A75" s="29" t="s">
        <v>217</v>
      </c>
      <c r="B75" s="29" t="s">
        <v>104</v>
      </c>
      <c r="C75" s="28">
        <v>5007.88</v>
      </c>
      <c r="D75" s="28">
        <v>4888.79</v>
      </c>
      <c r="E75" s="28">
        <v>119.09</v>
      </c>
      <c r="F75" s="28">
        <v>50389.81</v>
      </c>
      <c r="G75" s="28">
        <v>47784.88</v>
      </c>
      <c r="H75" s="28">
        <v>2604.9299999999998</v>
      </c>
    </row>
    <row r="76" spans="1:8" x14ac:dyDescent="0.25">
      <c r="A76" s="29" t="s">
        <v>216</v>
      </c>
      <c r="B76" s="29" t="s">
        <v>104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</row>
    <row r="77" spans="1:8" x14ac:dyDescent="0.25">
      <c r="A77" s="29" t="s">
        <v>215</v>
      </c>
      <c r="B77" s="29" t="s">
        <v>102</v>
      </c>
      <c r="C77" s="28">
        <v>7123.4</v>
      </c>
      <c r="D77" s="28">
        <v>17716.759999999998</v>
      </c>
      <c r="E77" s="27">
        <v>-10593.36</v>
      </c>
      <c r="F77" s="28">
        <v>89420.89</v>
      </c>
      <c r="G77" s="28">
        <v>83295.490000000005</v>
      </c>
      <c r="H77" s="28">
        <v>6125.4</v>
      </c>
    </row>
    <row r="78" spans="1:8" x14ac:dyDescent="0.25">
      <c r="A78" s="29" t="s">
        <v>214</v>
      </c>
      <c r="B78" s="29" t="s">
        <v>100</v>
      </c>
      <c r="C78" s="28">
        <v>2691.43</v>
      </c>
      <c r="D78" s="28">
        <v>2603</v>
      </c>
      <c r="E78" s="28">
        <v>88.43</v>
      </c>
      <c r="F78" s="28">
        <v>30843.51</v>
      </c>
      <c r="G78" s="28">
        <v>31236</v>
      </c>
      <c r="H78" s="27">
        <v>-392.49</v>
      </c>
    </row>
    <row r="79" spans="1:8" x14ac:dyDescent="0.25">
      <c r="A79" s="29" t="s">
        <v>213</v>
      </c>
      <c r="B79" s="29" t="s">
        <v>92</v>
      </c>
      <c r="C79" s="28">
        <v>12292.44</v>
      </c>
      <c r="D79" s="28">
        <v>4958.33</v>
      </c>
      <c r="E79" s="28">
        <v>7334.11</v>
      </c>
      <c r="F79" s="28">
        <v>66834.070000000007</v>
      </c>
      <c r="G79" s="28">
        <v>59498.98</v>
      </c>
      <c r="H79" s="28">
        <v>7335.09</v>
      </c>
    </row>
    <row r="80" spans="1:8" x14ac:dyDescent="0.25">
      <c r="A80" s="29"/>
      <c r="B80" s="29" t="s">
        <v>212</v>
      </c>
      <c r="C80" s="28">
        <v>775502.4</v>
      </c>
      <c r="D80" s="28">
        <v>587932.29</v>
      </c>
      <c r="E80" s="28">
        <v>187570.11</v>
      </c>
      <c r="F80" s="28">
        <v>4901995.1900000004</v>
      </c>
      <c r="G80" s="28">
        <v>3953655.4</v>
      </c>
      <c r="H80" s="28">
        <v>948339.79</v>
      </c>
    </row>
    <row r="81" spans="1:8" x14ac:dyDescent="0.25">
      <c r="B81" s="29" t="s">
        <v>51</v>
      </c>
    </row>
    <row r="82" spans="1:8" x14ac:dyDescent="0.25">
      <c r="A82" s="29"/>
      <c r="B82" s="29" t="s">
        <v>211</v>
      </c>
      <c r="C82" s="27">
        <v>-259196.04</v>
      </c>
      <c r="D82" s="28">
        <v>544208.86</v>
      </c>
      <c r="E82" s="27">
        <v>-803404.9</v>
      </c>
      <c r="F82" s="28">
        <v>4219799.67</v>
      </c>
      <c r="G82" s="28">
        <v>2485929.27</v>
      </c>
      <c r="H82" s="28">
        <v>1733870.4</v>
      </c>
    </row>
    <row r="83" spans="1:8" x14ac:dyDescent="0.25">
      <c r="B83" s="29" t="s">
        <v>51</v>
      </c>
    </row>
    <row r="84" spans="1:8" x14ac:dyDescent="0.25">
      <c r="B84" s="29" t="s">
        <v>210</v>
      </c>
    </row>
    <row r="85" spans="1:8" x14ac:dyDescent="0.25">
      <c r="A85" s="29" t="s">
        <v>209</v>
      </c>
      <c r="B85" s="29" t="s">
        <v>207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</row>
    <row r="86" spans="1:8" x14ac:dyDescent="0.25">
      <c r="A86" s="29" t="s">
        <v>208</v>
      </c>
      <c r="B86" s="29" t="s">
        <v>207</v>
      </c>
      <c r="C86" s="28">
        <v>86562.94</v>
      </c>
      <c r="D86" s="28">
        <v>39107.339999999997</v>
      </c>
      <c r="E86" s="28">
        <v>47455.6</v>
      </c>
      <c r="F86" s="28">
        <v>489254.32</v>
      </c>
      <c r="G86" s="28">
        <v>444439.27</v>
      </c>
      <c r="H86" s="28">
        <v>44815.05</v>
      </c>
    </row>
    <row r="87" spans="1:8" x14ac:dyDescent="0.25">
      <c r="A87" s="29" t="s">
        <v>206</v>
      </c>
      <c r="B87" s="29" t="s">
        <v>90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x14ac:dyDescent="0.25">
      <c r="A88" s="29" t="s">
        <v>205</v>
      </c>
      <c r="B88" s="29" t="s">
        <v>90</v>
      </c>
      <c r="C88" s="28">
        <v>2518.4</v>
      </c>
      <c r="D88" s="28">
        <v>3651.78</v>
      </c>
      <c r="E88" s="27">
        <v>-1133.3800000000001</v>
      </c>
      <c r="F88" s="28">
        <v>37528.67</v>
      </c>
      <c r="G88" s="28">
        <v>41433.919999999998</v>
      </c>
      <c r="H88" s="27">
        <v>-3905.25</v>
      </c>
    </row>
    <row r="89" spans="1:8" x14ac:dyDescent="0.25">
      <c r="A89" s="29" t="s">
        <v>204</v>
      </c>
      <c r="B89" s="29" t="s">
        <v>154</v>
      </c>
      <c r="C89" s="28">
        <v>0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</row>
    <row r="90" spans="1:8" x14ac:dyDescent="0.25">
      <c r="A90" s="29" t="s">
        <v>203</v>
      </c>
      <c r="B90" s="29" t="s">
        <v>154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</row>
    <row r="91" spans="1:8" x14ac:dyDescent="0.25">
      <c r="A91" s="29" t="s">
        <v>202</v>
      </c>
      <c r="B91" s="29" t="s">
        <v>154</v>
      </c>
      <c r="C91" s="28">
        <v>3308.5</v>
      </c>
      <c r="D91" s="28">
        <v>1499.54</v>
      </c>
      <c r="E91" s="28">
        <v>1808.96</v>
      </c>
      <c r="F91" s="28">
        <v>28185.24</v>
      </c>
      <c r="G91" s="28">
        <v>27586.400000000001</v>
      </c>
      <c r="H91" s="28">
        <v>598.84</v>
      </c>
    </row>
    <row r="92" spans="1:8" x14ac:dyDescent="0.25">
      <c r="A92" s="29" t="s">
        <v>201</v>
      </c>
      <c r="B92" s="29" t="s">
        <v>88</v>
      </c>
      <c r="C92" s="28">
        <v>2133.89</v>
      </c>
      <c r="D92" s="28">
        <v>2201.79</v>
      </c>
      <c r="E92" s="27">
        <v>-67.900000000000006</v>
      </c>
      <c r="F92" s="28">
        <v>61655.97</v>
      </c>
      <c r="G92" s="28">
        <v>38269.629999999997</v>
      </c>
      <c r="H92" s="28">
        <v>23386.34</v>
      </c>
    </row>
    <row r="93" spans="1:8" x14ac:dyDescent="0.25">
      <c r="A93" s="29" t="s">
        <v>200</v>
      </c>
      <c r="B93" s="29" t="s">
        <v>88</v>
      </c>
      <c r="C93" s="28">
        <v>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</row>
    <row r="94" spans="1:8" x14ac:dyDescent="0.25">
      <c r="A94" s="29" t="s">
        <v>199</v>
      </c>
      <c r="B94" s="29" t="s">
        <v>144</v>
      </c>
      <c r="C94" s="28">
        <v>0</v>
      </c>
      <c r="D94" s="28">
        <v>0</v>
      </c>
      <c r="E94" s="28">
        <v>0</v>
      </c>
      <c r="F94" s="28">
        <v>2223.0500000000002</v>
      </c>
      <c r="G94" s="28">
        <v>5507.4</v>
      </c>
      <c r="H94" s="27">
        <v>-3284.35</v>
      </c>
    </row>
    <row r="95" spans="1:8" x14ac:dyDescent="0.25">
      <c r="A95" s="29" t="s">
        <v>198</v>
      </c>
      <c r="B95" s="29" t="s">
        <v>144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</row>
    <row r="96" spans="1:8" x14ac:dyDescent="0.25">
      <c r="A96" s="29" t="s">
        <v>197</v>
      </c>
      <c r="B96" s="29" t="s">
        <v>195</v>
      </c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</row>
    <row r="97" spans="1:8" x14ac:dyDescent="0.25">
      <c r="A97" s="29" t="s">
        <v>196</v>
      </c>
      <c r="B97" s="29" t="s">
        <v>195</v>
      </c>
      <c r="C97" s="28">
        <v>6540</v>
      </c>
      <c r="D97" s="28">
        <v>12295.24</v>
      </c>
      <c r="E97" s="27">
        <v>-5755.24</v>
      </c>
      <c r="F97" s="28">
        <v>84397.759999999995</v>
      </c>
      <c r="G97" s="28">
        <v>67303.91</v>
      </c>
      <c r="H97" s="28">
        <v>17093.849999999999</v>
      </c>
    </row>
    <row r="98" spans="1:8" x14ac:dyDescent="0.25">
      <c r="A98" s="29" t="s">
        <v>194</v>
      </c>
      <c r="B98" s="29" t="s">
        <v>193</v>
      </c>
      <c r="C98" s="28">
        <v>0</v>
      </c>
      <c r="D98" s="28">
        <v>0</v>
      </c>
      <c r="E98" s="28">
        <v>0</v>
      </c>
      <c r="F98" s="28">
        <v>1117.55</v>
      </c>
      <c r="G98" s="28">
        <v>4328.7299999999996</v>
      </c>
      <c r="H98" s="27">
        <v>-3211.18</v>
      </c>
    </row>
    <row r="99" spans="1:8" x14ac:dyDescent="0.25">
      <c r="A99" s="29" t="s">
        <v>192</v>
      </c>
      <c r="B99" s="29" t="s">
        <v>191</v>
      </c>
      <c r="C99" s="28">
        <v>661.43</v>
      </c>
      <c r="D99" s="28">
        <v>224.58</v>
      </c>
      <c r="E99" s="28">
        <v>436.85</v>
      </c>
      <c r="F99" s="28">
        <v>10039.02</v>
      </c>
      <c r="G99" s="28">
        <v>2463.3000000000002</v>
      </c>
      <c r="H99" s="28">
        <v>7575.72</v>
      </c>
    </row>
    <row r="100" spans="1:8" x14ac:dyDescent="0.25">
      <c r="A100" s="29" t="s">
        <v>190</v>
      </c>
      <c r="B100" s="29" t="s">
        <v>189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</row>
    <row r="101" spans="1:8" x14ac:dyDescent="0.25">
      <c r="A101" s="29" t="s">
        <v>188</v>
      </c>
      <c r="B101" s="29" t="s">
        <v>187</v>
      </c>
      <c r="C101" s="28">
        <v>27266.76</v>
      </c>
      <c r="D101" s="28">
        <v>9699.67</v>
      </c>
      <c r="E101" s="28">
        <v>17567.09</v>
      </c>
      <c r="F101" s="28">
        <v>205967.35</v>
      </c>
      <c r="G101" s="28">
        <v>28941.24</v>
      </c>
      <c r="H101" s="28">
        <v>177026.11</v>
      </c>
    </row>
    <row r="102" spans="1:8" x14ac:dyDescent="0.25">
      <c r="A102" s="29" t="s">
        <v>186</v>
      </c>
      <c r="B102" s="29" t="s">
        <v>185</v>
      </c>
      <c r="C102" s="28">
        <v>0</v>
      </c>
      <c r="D102" s="28">
        <v>0</v>
      </c>
      <c r="E102" s="28">
        <v>0</v>
      </c>
      <c r="F102" s="28">
        <v>4668.72</v>
      </c>
      <c r="G102" s="28">
        <v>4446.3999999999996</v>
      </c>
      <c r="H102" s="28">
        <v>222.32</v>
      </c>
    </row>
    <row r="103" spans="1:8" x14ac:dyDescent="0.25">
      <c r="A103" s="29" t="s">
        <v>184</v>
      </c>
      <c r="B103" s="29" t="s">
        <v>183</v>
      </c>
      <c r="C103" s="28">
        <v>0</v>
      </c>
      <c r="D103" s="28">
        <v>0</v>
      </c>
      <c r="E103" s="28">
        <v>0</v>
      </c>
      <c r="F103" s="28">
        <v>0</v>
      </c>
      <c r="G103" s="28">
        <v>292.60000000000002</v>
      </c>
      <c r="H103" s="27">
        <v>-292.60000000000002</v>
      </c>
    </row>
    <row r="104" spans="1:8" x14ac:dyDescent="0.25">
      <c r="A104" s="29" t="s">
        <v>182</v>
      </c>
      <c r="B104" s="29" t="s">
        <v>181</v>
      </c>
      <c r="C104" s="28">
        <v>315.02</v>
      </c>
      <c r="D104" s="28">
        <v>0</v>
      </c>
      <c r="E104" s="28">
        <v>315.02</v>
      </c>
      <c r="F104" s="28">
        <v>1094.29</v>
      </c>
      <c r="G104" s="28">
        <v>0</v>
      </c>
      <c r="H104" s="28">
        <v>1094.29</v>
      </c>
    </row>
    <row r="105" spans="1:8" x14ac:dyDescent="0.25">
      <c r="A105" s="29" t="s">
        <v>180</v>
      </c>
      <c r="B105" s="29" t="s">
        <v>179</v>
      </c>
      <c r="C105" s="28">
        <v>117.25</v>
      </c>
      <c r="D105" s="28">
        <v>0</v>
      </c>
      <c r="E105" s="28">
        <v>117.25</v>
      </c>
      <c r="F105" s="28">
        <v>5034.6899999999996</v>
      </c>
      <c r="G105" s="28">
        <v>1696.48</v>
      </c>
      <c r="H105" s="28">
        <v>3338.21</v>
      </c>
    </row>
    <row r="106" spans="1:8" x14ac:dyDescent="0.25">
      <c r="A106" s="29" t="s">
        <v>178</v>
      </c>
      <c r="B106" s="29" t="s">
        <v>177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</row>
    <row r="107" spans="1:8" x14ac:dyDescent="0.25">
      <c r="A107" s="29" t="s">
        <v>176</v>
      </c>
      <c r="B107" s="29" t="s">
        <v>175</v>
      </c>
      <c r="C107" s="28">
        <v>0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</row>
    <row r="108" spans="1:8" x14ac:dyDescent="0.25">
      <c r="A108" s="29" t="s">
        <v>174</v>
      </c>
      <c r="B108" s="29" t="s">
        <v>173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</row>
    <row r="109" spans="1:8" x14ac:dyDescent="0.25">
      <c r="A109" s="29" t="s">
        <v>172</v>
      </c>
      <c r="B109" s="29" t="s">
        <v>171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</row>
    <row r="110" spans="1:8" x14ac:dyDescent="0.25">
      <c r="A110" s="29"/>
      <c r="B110" s="29" t="s">
        <v>170</v>
      </c>
      <c r="C110" s="28">
        <v>129424.19</v>
      </c>
      <c r="D110" s="28">
        <v>68679.94</v>
      </c>
      <c r="E110" s="28">
        <v>60744.25</v>
      </c>
      <c r="F110" s="28">
        <v>931166.63</v>
      </c>
      <c r="G110" s="28">
        <v>666709.28</v>
      </c>
      <c r="H110" s="28">
        <v>264457.34999999998</v>
      </c>
    </row>
    <row r="111" spans="1:8" x14ac:dyDescent="0.25">
      <c r="B111" s="29" t="s">
        <v>51</v>
      </c>
    </row>
    <row r="112" spans="1:8" x14ac:dyDescent="0.25">
      <c r="B112" s="29" t="s">
        <v>169</v>
      </c>
    </row>
    <row r="113" spans="1:8" x14ac:dyDescent="0.25">
      <c r="A113" s="29" t="s">
        <v>168</v>
      </c>
      <c r="B113" s="29" t="s">
        <v>166</v>
      </c>
      <c r="C113" s="28">
        <v>0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</row>
    <row r="114" spans="1:8" x14ac:dyDescent="0.25">
      <c r="A114" s="29" t="s">
        <v>167</v>
      </c>
      <c r="B114" s="29" t="s">
        <v>166</v>
      </c>
      <c r="C114" s="28">
        <v>31375.39</v>
      </c>
      <c r="D114" s="28">
        <v>31846.15</v>
      </c>
      <c r="E114" s="27">
        <v>-470.76</v>
      </c>
      <c r="F114" s="28">
        <v>364361.49</v>
      </c>
      <c r="G114" s="28">
        <v>355769.22</v>
      </c>
      <c r="H114" s="28">
        <v>8592.27</v>
      </c>
    </row>
    <row r="115" spans="1:8" x14ac:dyDescent="0.25">
      <c r="A115" s="29" t="s">
        <v>165</v>
      </c>
      <c r="B115" s="29" t="s">
        <v>163</v>
      </c>
      <c r="C115" s="28">
        <v>0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</row>
    <row r="116" spans="1:8" x14ac:dyDescent="0.25">
      <c r="A116" s="29" t="s">
        <v>164</v>
      </c>
      <c r="B116" s="29" t="s">
        <v>163</v>
      </c>
      <c r="C116" s="28">
        <v>32168.240000000002</v>
      </c>
      <c r="D116" s="28">
        <v>30458.94</v>
      </c>
      <c r="E116" s="28">
        <v>1709.3</v>
      </c>
      <c r="F116" s="28">
        <v>344191.96</v>
      </c>
      <c r="G116" s="28">
        <v>383959</v>
      </c>
      <c r="H116" s="27">
        <v>-39767.040000000001</v>
      </c>
    </row>
    <row r="117" spans="1:8" x14ac:dyDescent="0.25">
      <c r="A117" s="29" t="s">
        <v>162</v>
      </c>
      <c r="B117" s="29" t="s">
        <v>160</v>
      </c>
      <c r="C117" s="28">
        <v>0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</row>
    <row r="118" spans="1:8" x14ac:dyDescent="0.25">
      <c r="A118" s="29" t="s">
        <v>161</v>
      </c>
      <c r="B118" s="29" t="s">
        <v>160</v>
      </c>
      <c r="C118" s="28">
        <v>15230.8</v>
      </c>
      <c r="D118" s="28">
        <v>15923.11</v>
      </c>
      <c r="E118" s="27">
        <v>-692.31</v>
      </c>
      <c r="F118" s="28">
        <v>180000.34</v>
      </c>
      <c r="G118" s="28">
        <v>180692.66</v>
      </c>
      <c r="H118" s="27">
        <v>-692.32</v>
      </c>
    </row>
    <row r="119" spans="1:8" x14ac:dyDescent="0.25">
      <c r="A119" s="29" t="s">
        <v>159</v>
      </c>
      <c r="B119" s="29" t="s">
        <v>90</v>
      </c>
      <c r="C119" s="28">
        <v>0</v>
      </c>
      <c r="D119" s="28">
        <v>0</v>
      </c>
      <c r="E119" s="28">
        <v>0</v>
      </c>
      <c r="F119" s="28">
        <v>3.99</v>
      </c>
      <c r="G119" s="28">
        <v>0</v>
      </c>
      <c r="H119" s="28">
        <v>3.99</v>
      </c>
    </row>
    <row r="120" spans="1:8" x14ac:dyDescent="0.25">
      <c r="A120" s="29" t="s">
        <v>158</v>
      </c>
      <c r="B120" s="29" t="s">
        <v>90</v>
      </c>
      <c r="C120" s="28">
        <v>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</row>
    <row r="121" spans="1:8" x14ac:dyDescent="0.25">
      <c r="A121" s="29" t="s">
        <v>157</v>
      </c>
      <c r="B121" s="29" t="s">
        <v>90</v>
      </c>
      <c r="C121" s="28">
        <v>2795.63</v>
      </c>
      <c r="D121" s="28">
        <v>1839.01</v>
      </c>
      <c r="E121" s="28">
        <v>956.62</v>
      </c>
      <c r="F121" s="28">
        <v>28599.98</v>
      </c>
      <c r="G121" s="28">
        <v>39974.26</v>
      </c>
      <c r="H121" s="27">
        <v>-11374.28</v>
      </c>
    </row>
    <row r="122" spans="1:8" x14ac:dyDescent="0.25">
      <c r="A122" s="29" t="s">
        <v>156</v>
      </c>
      <c r="B122" s="29" t="s">
        <v>154</v>
      </c>
      <c r="C122" s="28">
        <v>0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</row>
    <row r="123" spans="1:8" x14ac:dyDescent="0.25">
      <c r="A123" s="29" t="s">
        <v>155</v>
      </c>
      <c r="B123" s="29" t="s">
        <v>154</v>
      </c>
      <c r="C123" s="28">
        <v>5736.93</v>
      </c>
      <c r="D123" s="28">
        <v>4777.6099999999997</v>
      </c>
      <c r="E123" s="28">
        <v>959.32</v>
      </c>
      <c r="F123" s="28">
        <v>64657.08</v>
      </c>
      <c r="G123" s="28">
        <v>65842.600000000006</v>
      </c>
      <c r="H123" s="27">
        <v>-1185.52</v>
      </c>
    </row>
    <row r="124" spans="1:8" x14ac:dyDescent="0.25">
      <c r="A124" s="29" t="s">
        <v>153</v>
      </c>
      <c r="B124" s="29" t="s">
        <v>152</v>
      </c>
      <c r="C124" s="28">
        <v>2158.77</v>
      </c>
      <c r="D124" s="28">
        <v>1775.48</v>
      </c>
      <c r="E124" s="28">
        <v>383.29</v>
      </c>
      <c r="F124" s="28">
        <v>16517.39</v>
      </c>
      <c r="G124" s="28">
        <v>16704.73</v>
      </c>
      <c r="H124" s="27">
        <v>-187.34</v>
      </c>
    </row>
    <row r="125" spans="1:8" x14ac:dyDescent="0.25">
      <c r="A125" s="29" t="s">
        <v>151</v>
      </c>
      <c r="B125" s="29" t="s">
        <v>150</v>
      </c>
      <c r="C125" s="28">
        <v>0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</row>
    <row r="126" spans="1:8" x14ac:dyDescent="0.25">
      <c r="A126" s="29" t="s">
        <v>149</v>
      </c>
      <c r="B126" s="29" t="s">
        <v>88</v>
      </c>
      <c r="C126" s="28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</row>
    <row r="127" spans="1:8" x14ac:dyDescent="0.25">
      <c r="A127" s="29" t="s">
        <v>148</v>
      </c>
      <c r="B127" s="29" t="s">
        <v>88</v>
      </c>
      <c r="C127" s="28">
        <v>975.78</v>
      </c>
      <c r="D127" s="28">
        <v>3241.32</v>
      </c>
      <c r="E127" s="27">
        <v>-2265.54</v>
      </c>
      <c r="F127" s="28">
        <v>19684.490000000002</v>
      </c>
      <c r="G127" s="28">
        <v>30593.200000000001</v>
      </c>
      <c r="H127" s="27">
        <v>-10908.71</v>
      </c>
    </row>
    <row r="128" spans="1:8" x14ac:dyDescent="0.25">
      <c r="A128" s="29" t="s">
        <v>147</v>
      </c>
      <c r="B128" s="29" t="s">
        <v>88</v>
      </c>
      <c r="C128" s="28">
        <v>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</row>
    <row r="129" spans="1:8" x14ac:dyDescent="0.25">
      <c r="A129" s="29" t="s">
        <v>146</v>
      </c>
      <c r="B129" s="29" t="s">
        <v>144</v>
      </c>
      <c r="C129" s="28">
        <v>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</row>
    <row r="130" spans="1:8" x14ac:dyDescent="0.25">
      <c r="A130" s="29" t="s">
        <v>145</v>
      </c>
      <c r="B130" s="29" t="s">
        <v>144</v>
      </c>
      <c r="C130" s="28">
        <v>35718.21</v>
      </c>
      <c r="D130" s="28">
        <v>7873.29</v>
      </c>
      <c r="E130" s="28">
        <v>27844.92</v>
      </c>
      <c r="F130" s="28">
        <v>53282.98</v>
      </c>
      <c r="G130" s="28">
        <v>23662.81</v>
      </c>
      <c r="H130" s="28">
        <v>29620.17</v>
      </c>
    </row>
    <row r="131" spans="1:8" x14ac:dyDescent="0.25">
      <c r="A131" s="29" t="s">
        <v>143</v>
      </c>
      <c r="B131" s="29" t="s">
        <v>142</v>
      </c>
      <c r="C131" s="28">
        <v>4000</v>
      </c>
      <c r="D131" s="28">
        <v>15150</v>
      </c>
      <c r="E131" s="27">
        <v>-11150</v>
      </c>
      <c r="F131" s="28">
        <v>80475</v>
      </c>
      <c r="G131" s="28">
        <v>103600</v>
      </c>
      <c r="H131" s="27">
        <v>-23125</v>
      </c>
    </row>
    <row r="132" spans="1:8" x14ac:dyDescent="0.25">
      <c r="A132" s="29" t="s">
        <v>141</v>
      </c>
      <c r="B132" s="29" t="s">
        <v>140</v>
      </c>
      <c r="C132" s="28">
        <v>0</v>
      </c>
      <c r="D132" s="28">
        <v>9479.7000000000007</v>
      </c>
      <c r="E132" s="27">
        <v>-9479.7000000000007</v>
      </c>
      <c r="F132" s="28">
        <v>11413.5</v>
      </c>
      <c r="G132" s="28">
        <v>9479.7000000000007</v>
      </c>
      <c r="H132" s="28">
        <v>1933.8</v>
      </c>
    </row>
    <row r="133" spans="1:8" x14ac:dyDescent="0.25">
      <c r="A133" s="29" t="s">
        <v>139</v>
      </c>
      <c r="B133" s="29" t="s">
        <v>138</v>
      </c>
      <c r="C133" s="28">
        <v>31472.39</v>
      </c>
      <c r="D133" s="28">
        <v>0</v>
      </c>
      <c r="E133" s="28">
        <v>31472.39</v>
      </c>
      <c r="F133" s="28">
        <v>117307.48</v>
      </c>
      <c r="G133" s="28">
        <v>1100</v>
      </c>
      <c r="H133" s="28">
        <v>116207.48</v>
      </c>
    </row>
    <row r="134" spans="1:8" x14ac:dyDescent="0.25">
      <c r="A134" s="29" t="s">
        <v>137</v>
      </c>
      <c r="B134" s="29" t="s">
        <v>136</v>
      </c>
      <c r="C134" s="28">
        <v>0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</row>
    <row r="135" spans="1:8" x14ac:dyDescent="0.25">
      <c r="A135" s="29" t="s">
        <v>135</v>
      </c>
      <c r="B135" s="29" t="s">
        <v>134</v>
      </c>
      <c r="C135" s="28">
        <v>45000</v>
      </c>
      <c r="D135" s="28">
        <v>40323</v>
      </c>
      <c r="E135" s="28">
        <v>4677</v>
      </c>
      <c r="F135" s="28">
        <v>46532.37</v>
      </c>
      <c r="G135" s="28">
        <v>53647.22</v>
      </c>
      <c r="H135" s="27">
        <v>-7114.85</v>
      </c>
    </row>
    <row r="136" spans="1:8" x14ac:dyDescent="0.25">
      <c r="A136" s="29" t="s">
        <v>133</v>
      </c>
      <c r="B136" s="29" t="s">
        <v>132</v>
      </c>
      <c r="C136" s="28">
        <v>730.38</v>
      </c>
      <c r="D136" s="28">
        <v>845.01</v>
      </c>
      <c r="E136" s="27">
        <v>-114.63</v>
      </c>
      <c r="F136" s="28">
        <v>4470.91</v>
      </c>
      <c r="G136" s="28">
        <v>10835.94</v>
      </c>
      <c r="H136" s="27">
        <v>-6365.03</v>
      </c>
    </row>
    <row r="137" spans="1:8" x14ac:dyDescent="0.25">
      <c r="A137" s="29" t="s">
        <v>131</v>
      </c>
      <c r="B137" s="29" t="s">
        <v>129</v>
      </c>
      <c r="C137" s="28">
        <v>0</v>
      </c>
      <c r="D137" s="28">
        <v>0</v>
      </c>
      <c r="E137" s="28">
        <v>0</v>
      </c>
      <c r="F137" s="28">
        <v>0</v>
      </c>
      <c r="G137" s="28">
        <v>0</v>
      </c>
      <c r="H137" s="28">
        <v>0</v>
      </c>
    </row>
    <row r="138" spans="1:8" x14ac:dyDescent="0.25">
      <c r="A138" s="29" t="s">
        <v>130</v>
      </c>
      <c r="B138" s="29" t="s">
        <v>129</v>
      </c>
      <c r="C138" s="28">
        <v>1102.93</v>
      </c>
      <c r="D138" s="28">
        <v>751.71</v>
      </c>
      <c r="E138" s="28">
        <v>351.22</v>
      </c>
      <c r="F138" s="28">
        <v>54147.21</v>
      </c>
      <c r="G138" s="28">
        <v>61892.91</v>
      </c>
      <c r="H138" s="27">
        <v>-7745.7</v>
      </c>
    </row>
    <row r="139" spans="1:8" x14ac:dyDescent="0.25">
      <c r="A139" s="29" t="s">
        <v>128</v>
      </c>
      <c r="B139" s="29" t="s">
        <v>127</v>
      </c>
      <c r="C139" s="28">
        <v>777.95</v>
      </c>
      <c r="D139" s="28">
        <v>750.5</v>
      </c>
      <c r="E139" s="28">
        <v>27.45</v>
      </c>
      <c r="F139" s="28">
        <v>8410.18</v>
      </c>
      <c r="G139" s="28">
        <v>9276.98</v>
      </c>
      <c r="H139" s="27">
        <v>-866.8</v>
      </c>
    </row>
    <row r="140" spans="1:8" x14ac:dyDescent="0.25">
      <c r="A140" s="29" t="s">
        <v>126</v>
      </c>
      <c r="B140" s="29" t="s">
        <v>124</v>
      </c>
      <c r="C140" s="28">
        <v>0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</row>
    <row r="141" spans="1:8" x14ac:dyDescent="0.25">
      <c r="A141" s="29" t="s">
        <v>125</v>
      </c>
      <c r="B141" s="29" t="s">
        <v>124</v>
      </c>
      <c r="C141" s="28">
        <v>500</v>
      </c>
      <c r="D141" s="28">
        <v>1672.27</v>
      </c>
      <c r="E141" s="27">
        <v>-1172.27</v>
      </c>
      <c r="F141" s="28">
        <v>6483.35</v>
      </c>
      <c r="G141" s="28">
        <v>10324.58</v>
      </c>
      <c r="H141" s="27">
        <v>-3841.23</v>
      </c>
    </row>
    <row r="142" spans="1:8" x14ac:dyDescent="0.25">
      <c r="A142" s="29" t="s">
        <v>123</v>
      </c>
      <c r="B142" s="29" t="s">
        <v>121</v>
      </c>
      <c r="C142" s="28">
        <v>0</v>
      </c>
      <c r="D142" s="28">
        <v>0</v>
      </c>
      <c r="E142" s="28">
        <v>0</v>
      </c>
      <c r="F142" s="28">
        <v>0</v>
      </c>
      <c r="G142" s="28">
        <v>0</v>
      </c>
      <c r="H142" s="28">
        <v>0</v>
      </c>
    </row>
    <row r="143" spans="1:8" x14ac:dyDescent="0.25">
      <c r="A143" s="29" t="s">
        <v>122</v>
      </c>
      <c r="B143" s="29" t="s">
        <v>121</v>
      </c>
      <c r="C143" s="28">
        <v>4454.1499999999996</v>
      </c>
      <c r="D143" s="28">
        <v>2113.84</v>
      </c>
      <c r="E143" s="28">
        <v>2340.31</v>
      </c>
      <c r="F143" s="28">
        <v>25832</v>
      </c>
      <c r="G143" s="28">
        <v>26559.06</v>
      </c>
      <c r="H143" s="27">
        <v>-727.06</v>
      </c>
    </row>
    <row r="144" spans="1:8" x14ac:dyDescent="0.25">
      <c r="A144" s="29" t="s">
        <v>120</v>
      </c>
      <c r="B144" s="29" t="s">
        <v>119</v>
      </c>
      <c r="C144" s="28">
        <v>1661.09</v>
      </c>
      <c r="D144" s="28">
        <v>1281.6099999999999</v>
      </c>
      <c r="E144" s="28">
        <v>379.48</v>
      </c>
      <c r="F144" s="28">
        <v>15611.16</v>
      </c>
      <c r="G144" s="28">
        <v>12265.41</v>
      </c>
      <c r="H144" s="28">
        <v>3345.75</v>
      </c>
    </row>
    <row r="145" spans="1:8" x14ac:dyDescent="0.25">
      <c r="A145" s="29" t="s">
        <v>118</v>
      </c>
      <c r="B145" s="29" t="s">
        <v>116</v>
      </c>
      <c r="C145" s="28">
        <v>0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</row>
    <row r="146" spans="1:8" x14ac:dyDescent="0.25">
      <c r="A146" s="29" t="s">
        <v>117</v>
      </c>
      <c r="B146" s="29" t="s">
        <v>116</v>
      </c>
      <c r="C146" s="28">
        <v>230.24</v>
      </c>
      <c r="D146" s="28">
        <v>295.14</v>
      </c>
      <c r="E146" s="27">
        <v>-64.900000000000006</v>
      </c>
      <c r="F146" s="28">
        <v>4797.75</v>
      </c>
      <c r="G146" s="28">
        <v>4901.88</v>
      </c>
      <c r="H146" s="27">
        <v>-104.13</v>
      </c>
    </row>
    <row r="147" spans="1:8" x14ac:dyDescent="0.25">
      <c r="A147" s="29" t="s">
        <v>115</v>
      </c>
      <c r="B147" s="29" t="s">
        <v>113</v>
      </c>
      <c r="C147" s="28">
        <v>0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</row>
    <row r="148" spans="1:8" x14ac:dyDescent="0.25">
      <c r="A148" s="29" t="s">
        <v>114</v>
      </c>
      <c r="B148" s="29" t="s">
        <v>113</v>
      </c>
      <c r="C148" s="28">
        <v>300</v>
      </c>
      <c r="D148" s="28">
        <v>3025</v>
      </c>
      <c r="E148" s="27">
        <v>-2725</v>
      </c>
      <c r="F148" s="28">
        <v>7885</v>
      </c>
      <c r="G148" s="28">
        <v>4625.88</v>
      </c>
      <c r="H148" s="28">
        <v>3259.12</v>
      </c>
    </row>
    <row r="149" spans="1:8" x14ac:dyDescent="0.25">
      <c r="A149" s="29" t="s">
        <v>112</v>
      </c>
      <c r="B149" s="29" t="s">
        <v>111</v>
      </c>
      <c r="C149" s="28">
        <v>1326.76</v>
      </c>
      <c r="D149" s="28">
        <v>1127.67</v>
      </c>
      <c r="E149" s="28">
        <v>199.09</v>
      </c>
      <c r="F149" s="28">
        <v>10722.71</v>
      </c>
      <c r="G149" s="28">
        <v>6792.98</v>
      </c>
      <c r="H149" s="28">
        <v>3929.73</v>
      </c>
    </row>
    <row r="150" spans="1:8" x14ac:dyDescent="0.25">
      <c r="A150" s="29" t="s">
        <v>110</v>
      </c>
      <c r="B150" s="29" t="s">
        <v>109</v>
      </c>
      <c r="C150" s="28">
        <v>81.77</v>
      </c>
      <c r="D150" s="28">
        <v>1560.05</v>
      </c>
      <c r="E150" s="27">
        <v>-1478.28</v>
      </c>
      <c r="F150" s="28">
        <v>8150.03</v>
      </c>
      <c r="G150" s="28">
        <v>24618.18</v>
      </c>
      <c r="H150" s="27">
        <v>-16468.150000000001</v>
      </c>
    </row>
    <row r="151" spans="1:8" x14ac:dyDescent="0.25">
      <c r="A151" s="29" t="s">
        <v>108</v>
      </c>
      <c r="B151" s="29" t="s">
        <v>106</v>
      </c>
      <c r="C151" s="28">
        <v>0</v>
      </c>
      <c r="D151" s="28">
        <v>0</v>
      </c>
      <c r="E151" s="28">
        <v>0</v>
      </c>
      <c r="F151" s="28">
        <v>0</v>
      </c>
      <c r="G151" s="28">
        <v>0</v>
      </c>
      <c r="H151" s="28">
        <v>0</v>
      </c>
    </row>
    <row r="152" spans="1:8" x14ac:dyDescent="0.25">
      <c r="A152" s="29" t="s">
        <v>107</v>
      </c>
      <c r="B152" s="29" t="s">
        <v>106</v>
      </c>
      <c r="C152" s="28">
        <v>452.64</v>
      </c>
      <c r="D152" s="28">
        <v>50</v>
      </c>
      <c r="E152" s="28">
        <v>402.64</v>
      </c>
      <c r="F152" s="28">
        <v>655.1</v>
      </c>
      <c r="G152" s="28">
        <v>576</v>
      </c>
      <c r="H152" s="28">
        <v>79.099999999999994</v>
      </c>
    </row>
    <row r="153" spans="1:8" x14ac:dyDescent="0.25">
      <c r="A153" s="29" t="s">
        <v>105</v>
      </c>
      <c r="B153" s="29" t="s">
        <v>104</v>
      </c>
      <c r="C153" s="28">
        <v>883.75</v>
      </c>
      <c r="D153" s="28">
        <v>791.54</v>
      </c>
      <c r="E153" s="28">
        <v>92.21</v>
      </c>
      <c r="F153" s="28">
        <v>8892.3700000000008</v>
      </c>
      <c r="G153" s="28">
        <v>6689.36</v>
      </c>
      <c r="H153" s="28">
        <v>2203.0100000000002</v>
      </c>
    </row>
    <row r="154" spans="1:8" x14ac:dyDescent="0.25">
      <c r="A154" s="29" t="s">
        <v>103</v>
      </c>
      <c r="B154" s="29" t="s">
        <v>102</v>
      </c>
      <c r="C154" s="28">
        <v>3770.62</v>
      </c>
      <c r="D154" s="28">
        <v>6800.42</v>
      </c>
      <c r="E154" s="27">
        <v>-3029.8</v>
      </c>
      <c r="F154" s="28">
        <v>21389.66</v>
      </c>
      <c r="G154" s="28">
        <v>22301.62</v>
      </c>
      <c r="H154" s="27">
        <v>-911.96</v>
      </c>
    </row>
    <row r="155" spans="1:8" x14ac:dyDescent="0.25">
      <c r="A155" s="29" t="s">
        <v>101</v>
      </c>
      <c r="B155" s="29" t="s">
        <v>100</v>
      </c>
      <c r="C155" s="28">
        <v>474.96</v>
      </c>
      <c r="D155" s="28">
        <v>459.36</v>
      </c>
      <c r="E155" s="28">
        <v>15.6</v>
      </c>
      <c r="F155" s="28">
        <v>5442.88</v>
      </c>
      <c r="G155" s="28">
        <v>5512.32</v>
      </c>
      <c r="H155" s="27">
        <v>-69.44</v>
      </c>
    </row>
    <row r="156" spans="1:8" x14ac:dyDescent="0.25">
      <c r="A156" s="29" t="s">
        <v>99</v>
      </c>
      <c r="B156" s="29" t="s">
        <v>98</v>
      </c>
      <c r="C156" s="28">
        <v>150000</v>
      </c>
      <c r="D156" s="28">
        <v>250000</v>
      </c>
      <c r="E156" s="27">
        <v>-100000</v>
      </c>
      <c r="F156" s="28">
        <v>150000</v>
      </c>
      <c r="G156" s="28">
        <v>250000</v>
      </c>
      <c r="H156" s="27">
        <v>-100000</v>
      </c>
    </row>
    <row r="157" spans="1:8" x14ac:dyDescent="0.25">
      <c r="A157" s="29" t="s">
        <v>97</v>
      </c>
      <c r="B157" s="29" t="s">
        <v>96</v>
      </c>
      <c r="C157" s="28">
        <v>0</v>
      </c>
      <c r="D157" s="28">
        <v>0</v>
      </c>
      <c r="E157" s="28">
        <v>0</v>
      </c>
      <c r="F157" s="28">
        <v>6340</v>
      </c>
      <c r="G157" s="28">
        <v>5730</v>
      </c>
      <c r="H157" s="28">
        <v>610</v>
      </c>
    </row>
    <row r="158" spans="1:8" x14ac:dyDescent="0.25">
      <c r="A158" s="29" t="s">
        <v>95</v>
      </c>
      <c r="B158" s="29" t="s">
        <v>94</v>
      </c>
      <c r="C158" s="28">
        <v>0</v>
      </c>
      <c r="D158" s="28">
        <v>0</v>
      </c>
      <c r="E158" s="28">
        <v>0</v>
      </c>
      <c r="F158" s="28">
        <v>1625.22</v>
      </c>
      <c r="G158" s="28">
        <v>1625.22</v>
      </c>
      <c r="H158" s="28">
        <v>0</v>
      </c>
    </row>
    <row r="159" spans="1:8" x14ac:dyDescent="0.25">
      <c r="A159" s="29" t="s">
        <v>93</v>
      </c>
      <c r="B159" s="29" t="s">
        <v>92</v>
      </c>
      <c r="C159" s="28">
        <v>2169.25</v>
      </c>
      <c r="D159" s="28">
        <v>875</v>
      </c>
      <c r="E159" s="28">
        <v>1294.25</v>
      </c>
      <c r="F159" s="28">
        <v>11794.25</v>
      </c>
      <c r="G159" s="28">
        <v>10500</v>
      </c>
      <c r="H159" s="28">
        <v>1294.25</v>
      </c>
    </row>
    <row r="160" spans="1:8" x14ac:dyDescent="0.25">
      <c r="A160" s="29" t="s">
        <v>91</v>
      </c>
      <c r="B160" s="29" t="s">
        <v>90</v>
      </c>
      <c r="C160" s="28">
        <v>0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</row>
    <row r="161" spans="1:8" x14ac:dyDescent="0.25">
      <c r="A161" s="29" t="s">
        <v>89</v>
      </c>
      <c r="B161" s="29" t="s">
        <v>88</v>
      </c>
      <c r="C161" s="28">
        <v>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</row>
    <row r="162" spans="1:8" x14ac:dyDescent="0.25">
      <c r="A162" s="29"/>
      <c r="B162" s="29" t="s">
        <v>87</v>
      </c>
      <c r="C162" s="28">
        <v>375548.63</v>
      </c>
      <c r="D162" s="28">
        <v>435086.73</v>
      </c>
      <c r="E162" s="27">
        <v>-59538.1</v>
      </c>
      <c r="F162" s="28">
        <v>1679677.83</v>
      </c>
      <c r="G162" s="28">
        <v>1740053.72</v>
      </c>
      <c r="H162" s="27">
        <v>-60375.89</v>
      </c>
    </row>
    <row r="163" spans="1:8" x14ac:dyDescent="0.25">
      <c r="B163" s="29" t="s">
        <v>51</v>
      </c>
    </row>
    <row r="164" spans="1:8" x14ac:dyDescent="0.25">
      <c r="B164" s="29" t="s">
        <v>86</v>
      </c>
    </row>
    <row r="165" spans="1:8" x14ac:dyDescent="0.25">
      <c r="A165" s="29" t="s">
        <v>85</v>
      </c>
      <c r="B165" s="29" t="s">
        <v>84</v>
      </c>
      <c r="C165" s="27">
        <v>-65.900000000000006</v>
      </c>
      <c r="D165" s="28">
        <v>0</v>
      </c>
      <c r="E165" s="27">
        <v>-65.900000000000006</v>
      </c>
      <c r="F165" s="27">
        <v>-213.02</v>
      </c>
      <c r="G165" s="28">
        <v>66.17</v>
      </c>
      <c r="H165" s="27">
        <v>-279.19</v>
      </c>
    </row>
    <row r="166" spans="1:8" x14ac:dyDescent="0.25">
      <c r="A166" s="29" t="s">
        <v>83</v>
      </c>
      <c r="B166" s="29" t="s">
        <v>82</v>
      </c>
      <c r="C166" s="28">
        <v>450.12</v>
      </c>
      <c r="D166" s="28">
        <v>541.39</v>
      </c>
      <c r="E166" s="27">
        <v>-91.27</v>
      </c>
      <c r="F166" s="28">
        <v>12674.97</v>
      </c>
      <c r="G166" s="28">
        <v>12237.54</v>
      </c>
      <c r="H166" s="28">
        <v>437.43</v>
      </c>
    </row>
    <row r="167" spans="1:8" x14ac:dyDescent="0.25">
      <c r="A167" s="29" t="s">
        <v>81</v>
      </c>
      <c r="B167" s="29" t="s">
        <v>80</v>
      </c>
      <c r="C167" s="28">
        <v>0</v>
      </c>
      <c r="D167" s="28">
        <v>0.96</v>
      </c>
      <c r="E167" s="27">
        <v>-0.96</v>
      </c>
      <c r="F167" s="28">
        <v>35.93</v>
      </c>
      <c r="G167" s="28">
        <v>1.84</v>
      </c>
      <c r="H167" s="28">
        <v>34.090000000000003</v>
      </c>
    </row>
    <row r="168" spans="1:8" x14ac:dyDescent="0.25">
      <c r="A168" s="29" t="s">
        <v>79</v>
      </c>
      <c r="B168" s="29" t="s">
        <v>78</v>
      </c>
      <c r="C168" s="27">
        <v>-135.63999999999999</v>
      </c>
      <c r="D168" s="28">
        <v>0</v>
      </c>
      <c r="E168" s="27">
        <v>-135.63999999999999</v>
      </c>
      <c r="F168" s="27">
        <v>-135.63999999999999</v>
      </c>
      <c r="G168" s="28">
        <v>0</v>
      </c>
      <c r="H168" s="27">
        <v>-135.63999999999999</v>
      </c>
    </row>
    <row r="169" spans="1:8" x14ac:dyDescent="0.25">
      <c r="A169" s="29" t="s">
        <v>77</v>
      </c>
      <c r="B169" s="29" t="s">
        <v>76</v>
      </c>
      <c r="C169" s="28">
        <v>3448.65</v>
      </c>
      <c r="D169" s="28">
        <v>5872.84</v>
      </c>
      <c r="E169" s="27">
        <v>-2424.19</v>
      </c>
      <c r="F169" s="28">
        <v>19565.509999999998</v>
      </c>
      <c r="G169" s="28">
        <v>23926.14</v>
      </c>
      <c r="H169" s="27">
        <v>-4360.63</v>
      </c>
    </row>
    <row r="170" spans="1:8" x14ac:dyDescent="0.25">
      <c r="A170" s="29" t="s">
        <v>75</v>
      </c>
      <c r="B170" s="29" t="s">
        <v>74</v>
      </c>
      <c r="C170" s="28">
        <v>0</v>
      </c>
      <c r="D170" s="28">
        <v>0</v>
      </c>
      <c r="E170" s="28">
        <v>0</v>
      </c>
      <c r="F170" s="28">
        <v>7</v>
      </c>
      <c r="G170" s="28">
        <v>0</v>
      </c>
      <c r="H170" s="28">
        <v>7</v>
      </c>
    </row>
    <row r="171" spans="1:8" x14ac:dyDescent="0.25">
      <c r="A171" s="29" t="s">
        <v>73</v>
      </c>
      <c r="B171" s="29" t="s">
        <v>72</v>
      </c>
      <c r="C171" s="28">
        <v>0</v>
      </c>
      <c r="D171" s="28">
        <v>0</v>
      </c>
      <c r="E171" s="28">
        <v>0</v>
      </c>
      <c r="F171" s="28">
        <v>92359.85</v>
      </c>
      <c r="G171" s="28">
        <v>0</v>
      </c>
      <c r="H171" s="28">
        <v>92359.85</v>
      </c>
    </row>
    <row r="172" spans="1:8" x14ac:dyDescent="0.25">
      <c r="A172" s="29" t="s">
        <v>71</v>
      </c>
      <c r="B172" s="29" t="s">
        <v>70</v>
      </c>
      <c r="C172" s="28">
        <v>0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</row>
    <row r="173" spans="1:8" x14ac:dyDescent="0.25">
      <c r="A173" s="29" t="s">
        <v>69</v>
      </c>
      <c r="B173" s="29" t="s">
        <v>68</v>
      </c>
      <c r="C173" s="28">
        <v>0</v>
      </c>
      <c r="D173" s="28">
        <v>0</v>
      </c>
      <c r="E173" s="28">
        <v>0</v>
      </c>
      <c r="F173" s="28">
        <v>0</v>
      </c>
      <c r="G173" s="28">
        <v>4611.41</v>
      </c>
      <c r="H173" s="27">
        <v>-4611.41</v>
      </c>
    </row>
    <row r="174" spans="1:8" x14ac:dyDescent="0.25">
      <c r="A174" s="29" t="s">
        <v>67</v>
      </c>
      <c r="B174" s="29" t="s">
        <v>66</v>
      </c>
      <c r="C174" s="28">
        <v>0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</row>
    <row r="175" spans="1:8" x14ac:dyDescent="0.25">
      <c r="A175" s="29" t="s">
        <v>65</v>
      </c>
      <c r="B175" s="29" t="s">
        <v>64</v>
      </c>
      <c r="C175" s="28">
        <v>0</v>
      </c>
      <c r="D175" s="28">
        <v>0</v>
      </c>
      <c r="E175" s="28">
        <v>0</v>
      </c>
      <c r="F175" s="28">
        <v>0</v>
      </c>
      <c r="G175" s="28">
        <v>0</v>
      </c>
      <c r="H175" s="28">
        <v>0</v>
      </c>
    </row>
    <row r="176" spans="1:8" x14ac:dyDescent="0.25">
      <c r="A176" s="29" t="s">
        <v>63</v>
      </c>
      <c r="B176" s="29" t="s">
        <v>62</v>
      </c>
      <c r="C176" s="28">
        <v>8746.18</v>
      </c>
      <c r="D176" s="28">
        <v>38.299999999999997</v>
      </c>
      <c r="E176" s="28">
        <v>8707.8799999999992</v>
      </c>
      <c r="F176" s="28">
        <v>0</v>
      </c>
      <c r="G176" s="28">
        <v>0</v>
      </c>
      <c r="H176" s="28">
        <v>0</v>
      </c>
    </row>
    <row r="177" spans="1:8" x14ac:dyDescent="0.25">
      <c r="A177" s="29"/>
      <c r="B177" s="29" t="s">
        <v>61</v>
      </c>
      <c r="C177" s="28">
        <v>12443.41</v>
      </c>
      <c r="D177" s="28">
        <v>6453.49</v>
      </c>
      <c r="E177" s="28">
        <v>5989.92</v>
      </c>
      <c r="F177" s="28">
        <v>124294.6</v>
      </c>
      <c r="G177" s="28">
        <v>40843.1</v>
      </c>
      <c r="H177" s="28">
        <v>83451.5</v>
      </c>
    </row>
    <row r="178" spans="1:8" x14ac:dyDescent="0.25">
      <c r="B178" s="29" t="s">
        <v>51</v>
      </c>
    </row>
    <row r="179" spans="1:8" x14ac:dyDescent="0.25">
      <c r="A179" s="29"/>
      <c r="B179" s="29" t="s">
        <v>60</v>
      </c>
      <c r="C179" s="27">
        <v>-751725.45</v>
      </c>
      <c r="D179" s="28">
        <v>46895.68</v>
      </c>
      <c r="E179" s="27">
        <v>-798621.13</v>
      </c>
      <c r="F179" s="28">
        <v>1733249.81</v>
      </c>
      <c r="G179" s="28">
        <v>120009.37</v>
      </c>
      <c r="H179" s="28">
        <v>1613240.44</v>
      </c>
    </row>
    <row r="180" spans="1:8" x14ac:dyDescent="0.25">
      <c r="B180" s="29" t="s">
        <v>51</v>
      </c>
    </row>
    <row r="181" spans="1:8" x14ac:dyDescent="0.25">
      <c r="B181" s="29" t="s">
        <v>59</v>
      </c>
    </row>
    <row r="182" spans="1:8" x14ac:dyDescent="0.25">
      <c r="A182" s="29" t="s">
        <v>58</v>
      </c>
      <c r="B182" s="29" t="s">
        <v>57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</row>
    <row r="183" spans="1:8" x14ac:dyDescent="0.25">
      <c r="A183" s="29" t="s">
        <v>56</v>
      </c>
      <c r="B183" s="29" t="s">
        <v>55</v>
      </c>
      <c r="C183" s="28">
        <v>0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</row>
    <row r="184" spans="1:8" x14ac:dyDescent="0.25">
      <c r="A184" s="29" t="s">
        <v>54</v>
      </c>
      <c r="B184" s="29" t="s">
        <v>53</v>
      </c>
      <c r="C184" s="28">
        <v>166364.31</v>
      </c>
      <c r="D184" s="28">
        <v>0</v>
      </c>
      <c r="E184" s="28">
        <v>166364.31</v>
      </c>
      <c r="F184" s="28">
        <v>177114.31</v>
      </c>
      <c r="G184" s="28">
        <v>25</v>
      </c>
      <c r="H184" s="28">
        <v>177089.31</v>
      </c>
    </row>
    <row r="185" spans="1:8" x14ac:dyDescent="0.25">
      <c r="A185" s="29"/>
      <c r="B185" s="29" t="s">
        <v>52</v>
      </c>
      <c r="C185" s="28">
        <v>166364.31</v>
      </c>
      <c r="D185" s="28">
        <v>0</v>
      </c>
      <c r="E185" s="28">
        <v>166364.31</v>
      </c>
      <c r="F185" s="28">
        <v>177114.31</v>
      </c>
      <c r="G185" s="28">
        <v>25</v>
      </c>
      <c r="H185" s="28">
        <v>177089.31</v>
      </c>
    </row>
    <row r="186" spans="1:8" x14ac:dyDescent="0.25">
      <c r="B186" s="29" t="s">
        <v>51</v>
      </c>
    </row>
    <row r="187" spans="1:8" x14ac:dyDescent="0.25">
      <c r="A187" s="29"/>
      <c r="B187" s="29" t="s">
        <v>50</v>
      </c>
      <c r="C187" s="27">
        <v>-918089.76</v>
      </c>
      <c r="D187" s="28">
        <v>46895.68</v>
      </c>
      <c r="E187" s="27">
        <v>-964985.44</v>
      </c>
      <c r="F187" s="28">
        <v>1556135.5</v>
      </c>
      <c r="G187" s="28">
        <v>119984.37</v>
      </c>
      <c r="H187" s="28">
        <v>1436151.13</v>
      </c>
    </row>
  </sheetData>
  <pageMargins left="0.75" right="0.75" top="1.5" bottom="1" header="0.5" footer="0.5"/>
  <pageSetup orientation="portrait"/>
  <headerFooter alignWithMargins="0">
    <oddHeader xml:space="preserve">&amp;C American Aerospace Controls Inc.
INCOME STATEMENT
FOR PERIOD ENDING:  12/31/2022
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3DFC4-35FC-4BF8-91F8-08C4846338EA}">
  <dimension ref="A1:H187"/>
  <sheetViews>
    <sheetView showGridLines="0" workbookViewId="0"/>
  </sheetViews>
  <sheetFormatPr defaultRowHeight="12.5" x14ac:dyDescent="0.25"/>
  <cols>
    <col min="1" max="1" width="13.7265625" style="26" customWidth="1"/>
    <col min="2" max="2" width="40.7265625" style="26" customWidth="1"/>
    <col min="3" max="4" width="16.7265625" style="26" customWidth="1"/>
    <col min="5" max="7" width="14.7265625" style="26" customWidth="1"/>
    <col min="8" max="8" width="16.7265625" style="26" customWidth="1"/>
    <col min="9" max="256" width="9.1796875" style="26" customWidth="1"/>
    <col min="257" max="16384" width="8.7265625" style="26"/>
  </cols>
  <sheetData>
    <row r="1" spans="1:8" x14ac:dyDescent="0.25">
      <c r="A1" s="29" t="s">
        <v>342</v>
      </c>
      <c r="B1" s="29" t="s">
        <v>341</v>
      </c>
      <c r="C1" s="29" t="s">
        <v>340</v>
      </c>
      <c r="D1" s="29" t="s">
        <v>340</v>
      </c>
      <c r="E1" s="29" t="s">
        <v>337</v>
      </c>
      <c r="F1" s="29" t="s">
        <v>339</v>
      </c>
      <c r="G1" s="29" t="s">
        <v>338</v>
      </c>
      <c r="H1" s="29" t="s">
        <v>337</v>
      </c>
    </row>
    <row r="2" spans="1:8" x14ac:dyDescent="0.25">
      <c r="A2" s="29" t="s">
        <v>2</v>
      </c>
      <c r="B2" s="29" t="s">
        <v>2</v>
      </c>
      <c r="C2" s="29" t="s">
        <v>2</v>
      </c>
      <c r="D2" s="29" t="s">
        <v>336</v>
      </c>
      <c r="E2" s="29" t="s">
        <v>2</v>
      </c>
      <c r="F2" s="29" t="s">
        <v>2</v>
      </c>
      <c r="G2" s="29" t="s">
        <v>336</v>
      </c>
      <c r="H2" s="29" t="s">
        <v>2</v>
      </c>
    </row>
    <row r="3" spans="1:8" x14ac:dyDescent="0.25">
      <c r="B3" s="29" t="s">
        <v>335</v>
      </c>
    </row>
    <row r="4" spans="1:8" x14ac:dyDescent="0.25">
      <c r="A4" s="29" t="s">
        <v>334</v>
      </c>
      <c r="B4" s="29" t="s">
        <v>332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</row>
    <row r="5" spans="1:8" x14ac:dyDescent="0.25">
      <c r="A5" s="29" t="s">
        <v>333</v>
      </c>
      <c r="B5" s="29" t="s">
        <v>332</v>
      </c>
      <c r="C5" s="28">
        <v>1245336.3999999999</v>
      </c>
      <c r="D5" s="28">
        <v>515796.36</v>
      </c>
      <c r="E5" s="28">
        <v>729540.04</v>
      </c>
      <c r="F5" s="28">
        <v>7883831.6100000003</v>
      </c>
      <c r="G5" s="28">
        <v>9119442.8599999994</v>
      </c>
      <c r="H5" s="27">
        <v>-1235611.25</v>
      </c>
    </row>
    <row r="6" spans="1:8" x14ac:dyDescent="0.25">
      <c r="A6" s="29" t="s">
        <v>331</v>
      </c>
      <c r="B6" s="29" t="s">
        <v>330</v>
      </c>
      <c r="C6" s="28">
        <v>0</v>
      </c>
      <c r="D6" s="28">
        <v>0</v>
      </c>
      <c r="E6" s="28">
        <v>0</v>
      </c>
      <c r="F6" s="28">
        <v>0</v>
      </c>
      <c r="G6" s="27">
        <v>-2493</v>
      </c>
      <c r="H6" s="28">
        <v>2493</v>
      </c>
    </row>
    <row r="7" spans="1:8" x14ac:dyDescent="0.25">
      <c r="A7" s="29" t="s">
        <v>329</v>
      </c>
      <c r="B7" s="29" t="s">
        <v>322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</row>
    <row r="8" spans="1:8" x14ac:dyDescent="0.25">
      <c r="A8" s="29" t="s">
        <v>328</v>
      </c>
      <c r="B8" s="29" t="s">
        <v>322</v>
      </c>
      <c r="C8" s="27">
        <v>-0.71</v>
      </c>
      <c r="D8" s="28">
        <v>0</v>
      </c>
      <c r="E8" s="27">
        <v>-0.71</v>
      </c>
      <c r="F8" s="28">
        <v>2653.95</v>
      </c>
      <c r="G8" s="28">
        <v>0</v>
      </c>
      <c r="H8" s="28">
        <v>2653.95</v>
      </c>
    </row>
    <row r="9" spans="1:8" x14ac:dyDescent="0.25">
      <c r="A9" s="29" t="s">
        <v>327</v>
      </c>
      <c r="B9" s="29" t="s">
        <v>326</v>
      </c>
      <c r="C9" s="28">
        <v>5500</v>
      </c>
      <c r="D9" s="28">
        <v>510</v>
      </c>
      <c r="E9" s="28">
        <v>4990</v>
      </c>
      <c r="F9" s="28">
        <v>13042.89</v>
      </c>
      <c r="G9" s="28">
        <v>4845</v>
      </c>
      <c r="H9" s="28">
        <v>8197.89</v>
      </c>
    </row>
    <row r="10" spans="1:8" x14ac:dyDescent="0.25">
      <c r="A10" s="29" t="s">
        <v>325</v>
      </c>
      <c r="B10" s="29" t="s">
        <v>324</v>
      </c>
      <c r="C10" s="28">
        <v>0</v>
      </c>
      <c r="D10" s="28">
        <v>0</v>
      </c>
      <c r="E10" s="28">
        <v>0</v>
      </c>
      <c r="F10" s="28">
        <v>0</v>
      </c>
      <c r="G10" s="28">
        <v>0</v>
      </c>
      <c r="H10" s="28">
        <v>0</v>
      </c>
    </row>
    <row r="11" spans="1:8" x14ac:dyDescent="0.25">
      <c r="A11" s="29" t="s">
        <v>323</v>
      </c>
      <c r="B11" s="29" t="s">
        <v>322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</row>
    <row r="12" spans="1:8" x14ac:dyDescent="0.25">
      <c r="A12" s="29"/>
      <c r="B12" s="29" t="s">
        <v>321</v>
      </c>
      <c r="C12" s="28">
        <v>1250835.69</v>
      </c>
      <c r="D12" s="28">
        <v>516306.36</v>
      </c>
      <c r="E12" s="28">
        <v>734529.33</v>
      </c>
      <c r="F12" s="28">
        <v>7899528.4500000002</v>
      </c>
      <c r="G12" s="28">
        <v>9121794.8599999994</v>
      </c>
      <c r="H12" s="27">
        <v>-1222266.4099999999</v>
      </c>
    </row>
    <row r="13" spans="1:8" x14ac:dyDescent="0.25">
      <c r="B13" s="29" t="s">
        <v>51</v>
      </c>
    </row>
    <row r="14" spans="1:8" x14ac:dyDescent="0.25">
      <c r="B14" s="29" t="s">
        <v>320</v>
      </c>
    </row>
    <row r="15" spans="1:8" x14ac:dyDescent="0.25">
      <c r="A15" s="29" t="s">
        <v>319</v>
      </c>
      <c r="B15" s="29" t="s">
        <v>318</v>
      </c>
      <c r="C15" s="28">
        <v>76639.33</v>
      </c>
      <c r="D15" s="28">
        <v>439243.06</v>
      </c>
      <c r="E15" s="27">
        <v>-362603.73</v>
      </c>
      <c r="F15" s="28">
        <v>679907.15</v>
      </c>
      <c r="G15" s="28">
        <v>1228571.71</v>
      </c>
      <c r="H15" s="27">
        <v>-548664.56000000006</v>
      </c>
    </row>
    <row r="16" spans="1:8" x14ac:dyDescent="0.25">
      <c r="A16" s="29" t="s">
        <v>317</v>
      </c>
      <c r="B16" s="29" t="s">
        <v>316</v>
      </c>
      <c r="C16" s="28">
        <v>52120.78</v>
      </c>
      <c r="D16" s="28">
        <v>30516.799999999999</v>
      </c>
      <c r="E16" s="28">
        <v>21603.98</v>
      </c>
      <c r="F16" s="28">
        <v>315197.93</v>
      </c>
      <c r="G16" s="28">
        <v>393804.13</v>
      </c>
      <c r="H16" s="27">
        <v>-78606.2</v>
      </c>
    </row>
    <row r="17" spans="1:8" x14ac:dyDescent="0.25">
      <c r="A17" s="29" t="s">
        <v>315</v>
      </c>
      <c r="B17" s="29" t="s">
        <v>314</v>
      </c>
      <c r="C17" s="28">
        <v>78436.09</v>
      </c>
      <c r="D17" s="28">
        <v>45772.59</v>
      </c>
      <c r="E17" s="28">
        <v>32663.5</v>
      </c>
      <c r="F17" s="28">
        <v>473199.62</v>
      </c>
      <c r="G17" s="28">
        <v>592796.68000000005</v>
      </c>
      <c r="H17" s="27">
        <v>-119597.06</v>
      </c>
    </row>
    <row r="18" spans="1:8" x14ac:dyDescent="0.25">
      <c r="A18" s="29" t="s">
        <v>313</v>
      </c>
      <c r="B18" s="29" t="s">
        <v>312</v>
      </c>
      <c r="C18" s="28">
        <v>22493.41</v>
      </c>
      <c r="D18" s="28">
        <v>6833.06</v>
      </c>
      <c r="E18" s="28">
        <v>15660.35</v>
      </c>
      <c r="F18" s="28">
        <v>127658.9</v>
      </c>
      <c r="G18" s="28">
        <v>126329.18</v>
      </c>
      <c r="H18" s="28">
        <v>1329.72</v>
      </c>
    </row>
    <row r="19" spans="1:8" x14ac:dyDescent="0.25">
      <c r="A19" s="29" t="s">
        <v>311</v>
      </c>
      <c r="B19" s="29" t="s">
        <v>310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</row>
    <row r="20" spans="1:8" x14ac:dyDescent="0.25">
      <c r="A20" s="29" t="s">
        <v>309</v>
      </c>
      <c r="B20" s="29" t="s">
        <v>308</v>
      </c>
      <c r="C20" s="28">
        <v>0</v>
      </c>
      <c r="D20" s="27">
        <v>-777.09</v>
      </c>
      <c r="E20" s="28">
        <v>777.09</v>
      </c>
      <c r="F20" s="27">
        <v>-1925.91</v>
      </c>
      <c r="G20" s="27">
        <v>-21117.57</v>
      </c>
      <c r="H20" s="28">
        <v>19191.66</v>
      </c>
    </row>
    <row r="21" spans="1:8" x14ac:dyDescent="0.25">
      <c r="A21" s="29" t="s">
        <v>307</v>
      </c>
      <c r="B21" s="29" t="s">
        <v>306</v>
      </c>
      <c r="C21" s="28">
        <v>1416.88</v>
      </c>
      <c r="D21" s="27">
        <v>-232.1</v>
      </c>
      <c r="E21" s="28">
        <v>1648.98</v>
      </c>
      <c r="F21" s="28">
        <v>42933.69</v>
      </c>
      <c r="G21" s="28">
        <v>41613.85</v>
      </c>
      <c r="H21" s="28">
        <v>1319.84</v>
      </c>
    </row>
    <row r="22" spans="1:8" x14ac:dyDescent="0.25">
      <c r="A22" s="29" t="s">
        <v>305</v>
      </c>
      <c r="B22" s="29" t="s">
        <v>304</v>
      </c>
      <c r="C22" s="28">
        <v>5414.97</v>
      </c>
      <c r="D22" s="28">
        <v>1902.39</v>
      </c>
      <c r="E22" s="28">
        <v>3512.58</v>
      </c>
      <c r="F22" s="28">
        <v>4497.29</v>
      </c>
      <c r="G22" s="28">
        <v>11957.31</v>
      </c>
      <c r="H22" s="27">
        <v>-7460.02</v>
      </c>
    </row>
    <row r="23" spans="1:8" x14ac:dyDescent="0.25">
      <c r="A23" s="29" t="s">
        <v>303</v>
      </c>
      <c r="B23" s="29" t="s">
        <v>302</v>
      </c>
      <c r="C23" s="28">
        <v>0</v>
      </c>
      <c r="D23" s="28">
        <v>0</v>
      </c>
      <c r="E23" s="28">
        <v>0</v>
      </c>
      <c r="F23" s="28">
        <v>705.8</v>
      </c>
      <c r="G23" s="28">
        <v>3958.38</v>
      </c>
      <c r="H23" s="27">
        <v>-3252.58</v>
      </c>
    </row>
    <row r="24" spans="1:8" x14ac:dyDescent="0.25">
      <c r="A24" s="29" t="s">
        <v>301</v>
      </c>
      <c r="B24" s="29" t="s">
        <v>300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</row>
    <row r="25" spans="1:8" x14ac:dyDescent="0.25">
      <c r="A25" s="29" t="s">
        <v>299</v>
      </c>
      <c r="B25" s="29" t="s">
        <v>298</v>
      </c>
      <c r="C25" s="27">
        <v>-18648.88</v>
      </c>
      <c r="D25" s="27">
        <v>-15951.04</v>
      </c>
      <c r="E25" s="27">
        <v>-2697.84</v>
      </c>
      <c r="F25" s="27">
        <v>-338380.1</v>
      </c>
      <c r="G25" s="27">
        <v>-359500.48</v>
      </c>
      <c r="H25" s="28">
        <v>21120.38</v>
      </c>
    </row>
    <row r="26" spans="1:8" x14ac:dyDescent="0.25">
      <c r="A26" s="29" t="s">
        <v>297</v>
      </c>
      <c r="B26" s="29" t="s">
        <v>296</v>
      </c>
      <c r="C26" s="27">
        <v>-28008.39</v>
      </c>
      <c r="D26" s="27">
        <v>-23859.17</v>
      </c>
      <c r="E26" s="27">
        <v>-4149.22</v>
      </c>
      <c r="F26" s="27">
        <v>-507058.11</v>
      </c>
      <c r="G26" s="27">
        <v>-508443.17</v>
      </c>
      <c r="H26" s="28">
        <v>1385.06</v>
      </c>
    </row>
    <row r="27" spans="1:8" x14ac:dyDescent="0.25">
      <c r="A27" s="29" t="s">
        <v>295</v>
      </c>
      <c r="B27" s="29" t="s">
        <v>294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</row>
    <row r="28" spans="1:8" x14ac:dyDescent="0.25">
      <c r="A28" s="29" t="s">
        <v>293</v>
      </c>
      <c r="B28" s="29" t="s">
        <v>292</v>
      </c>
      <c r="C28" s="28">
        <v>74424.69</v>
      </c>
      <c r="D28" s="28">
        <v>62950.18</v>
      </c>
      <c r="E28" s="28">
        <v>11474.51</v>
      </c>
      <c r="F28" s="28">
        <v>870948.67</v>
      </c>
      <c r="G28" s="28">
        <v>787731.87</v>
      </c>
      <c r="H28" s="28">
        <v>83216.800000000003</v>
      </c>
    </row>
    <row r="29" spans="1:8" x14ac:dyDescent="0.25">
      <c r="A29" s="29" t="s">
        <v>291</v>
      </c>
      <c r="B29" s="29" t="s">
        <v>287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</row>
    <row r="30" spans="1:8" x14ac:dyDescent="0.25">
      <c r="A30" s="29" t="s">
        <v>290</v>
      </c>
      <c r="B30" s="29" t="s">
        <v>287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</row>
    <row r="31" spans="1:8" x14ac:dyDescent="0.25">
      <c r="A31" s="29" t="s">
        <v>289</v>
      </c>
      <c r="B31" s="29" t="s">
        <v>287</v>
      </c>
      <c r="C31" s="28">
        <v>23342.75</v>
      </c>
      <c r="D31" s="28">
        <v>22357.84</v>
      </c>
      <c r="E31" s="28">
        <v>984.91</v>
      </c>
      <c r="F31" s="28">
        <v>276735.14</v>
      </c>
      <c r="G31" s="28">
        <v>241099.93</v>
      </c>
      <c r="H31" s="28">
        <v>35635.21</v>
      </c>
    </row>
    <row r="32" spans="1:8" x14ac:dyDescent="0.25">
      <c r="A32" s="29" t="s">
        <v>288</v>
      </c>
      <c r="B32" s="29" t="s">
        <v>287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</row>
    <row r="33" spans="1:8" x14ac:dyDescent="0.25">
      <c r="A33" s="29" t="s">
        <v>286</v>
      </c>
      <c r="B33" s="29" t="s">
        <v>284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</row>
    <row r="34" spans="1:8" x14ac:dyDescent="0.25">
      <c r="A34" s="29" t="s">
        <v>285</v>
      </c>
      <c r="B34" s="29" t="s">
        <v>284</v>
      </c>
      <c r="C34" s="28">
        <v>28348.36</v>
      </c>
      <c r="D34" s="28">
        <v>27246.15</v>
      </c>
      <c r="E34" s="28">
        <v>1102.21</v>
      </c>
      <c r="F34" s="28">
        <v>337047.09</v>
      </c>
      <c r="G34" s="28">
        <v>286273.09000000003</v>
      </c>
      <c r="H34" s="28">
        <v>50774</v>
      </c>
    </row>
    <row r="35" spans="1:8" x14ac:dyDescent="0.25">
      <c r="A35" s="29" t="s">
        <v>283</v>
      </c>
      <c r="B35" s="29" t="s">
        <v>280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</row>
    <row r="36" spans="1:8" x14ac:dyDescent="0.25">
      <c r="A36" s="29" t="s">
        <v>282</v>
      </c>
      <c r="B36" s="29" t="s">
        <v>280</v>
      </c>
      <c r="C36" s="28">
        <v>53900.07</v>
      </c>
      <c r="D36" s="28">
        <v>68208.56</v>
      </c>
      <c r="E36" s="27">
        <v>-14308.49</v>
      </c>
      <c r="F36" s="28">
        <v>642408.62</v>
      </c>
      <c r="G36" s="28">
        <v>796833.22</v>
      </c>
      <c r="H36" s="27">
        <v>-154424.6</v>
      </c>
    </row>
    <row r="37" spans="1:8" x14ac:dyDescent="0.25">
      <c r="A37" s="29" t="s">
        <v>281</v>
      </c>
      <c r="B37" s="29" t="s">
        <v>280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 x14ac:dyDescent="0.25">
      <c r="A38" s="29" t="s">
        <v>279</v>
      </c>
      <c r="B38" s="29" t="s">
        <v>276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x14ac:dyDescent="0.25">
      <c r="A39" s="29" t="s">
        <v>278</v>
      </c>
      <c r="B39" s="29" t="s">
        <v>276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</row>
    <row r="40" spans="1:8" x14ac:dyDescent="0.25">
      <c r="A40" s="29" t="s">
        <v>277</v>
      </c>
      <c r="B40" s="29" t="s">
        <v>276</v>
      </c>
      <c r="C40" s="28">
        <v>18854.509999999998</v>
      </c>
      <c r="D40" s="28">
        <v>22653.05</v>
      </c>
      <c r="E40" s="27">
        <v>-3798.54</v>
      </c>
      <c r="F40" s="28">
        <v>247486.07</v>
      </c>
      <c r="G40" s="28">
        <v>251567.64</v>
      </c>
      <c r="H40" s="27">
        <v>-4081.57</v>
      </c>
    </row>
    <row r="41" spans="1:8" x14ac:dyDescent="0.25">
      <c r="A41" s="29" t="s">
        <v>275</v>
      </c>
      <c r="B41" s="29" t="s">
        <v>274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</row>
    <row r="42" spans="1:8" x14ac:dyDescent="0.25">
      <c r="A42" s="29" t="s">
        <v>273</v>
      </c>
      <c r="B42" s="29" t="s">
        <v>90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</row>
    <row r="43" spans="1:8" x14ac:dyDescent="0.25">
      <c r="A43" s="29" t="s">
        <v>272</v>
      </c>
      <c r="B43" s="29" t="s">
        <v>90</v>
      </c>
      <c r="C43" s="28">
        <v>27091.41</v>
      </c>
      <c r="D43" s="28">
        <v>29278.54</v>
      </c>
      <c r="E43" s="27">
        <v>-2187.13</v>
      </c>
      <c r="F43" s="28">
        <v>305246.74</v>
      </c>
      <c r="G43" s="28">
        <v>326682.67</v>
      </c>
      <c r="H43" s="27">
        <v>-21435.93</v>
      </c>
    </row>
    <row r="44" spans="1:8" x14ac:dyDescent="0.25">
      <c r="A44" s="29" t="s">
        <v>271</v>
      </c>
      <c r="B44" s="29" t="s">
        <v>154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</row>
    <row r="45" spans="1:8" x14ac:dyDescent="0.25">
      <c r="A45" s="29" t="s">
        <v>270</v>
      </c>
      <c r="B45" s="29" t="s">
        <v>154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</row>
    <row r="46" spans="1:8" x14ac:dyDescent="0.25">
      <c r="A46" s="29" t="s">
        <v>269</v>
      </c>
      <c r="B46" s="29" t="s">
        <v>154</v>
      </c>
      <c r="C46" s="28">
        <v>12792.25</v>
      </c>
      <c r="D46" s="28">
        <v>13208.65</v>
      </c>
      <c r="E46" s="27">
        <v>-416.4</v>
      </c>
      <c r="F46" s="28">
        <v>183157.69</v>
      </c>
      <c r="G46" s="28">
        <v>176254.86</v>
      </c>
      <c r="H46" s="28">
        <v>6902.83</v>
      </c>
    </row>
    <row r="47" spans="1:8" x14ac:dyDescent="0.25">
      <c r="A47" s="29" t="s">
        <v>268</v>
      </c>
      <c r="B47" s="29" t="s">
        <v>150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</row>
    <row r="48" spans="1:8" x14ac:dyDescent="0.25">
      <c r="A48" s="29" t="s">
        <v>267</v>
      </c>
      <c r="B48" s="29" t="s">
        <v>266</v>
      </c>
      <c r="C48" s="28">
        <v>0</v>
      </c>
      <c r="D48" s="28">
        <v>0</v>
      </c>
      <c r="E48" s="28">
        <v>0</v>
      </c>
      <c r="F48" s="28">
        <v>0</v>
      </c>
      <c r="G48" s="28">
        <v>408.67</v>
      </c>
      <c r="H48" s="27">
        <v>-408.67</v>
      </c>
    </row>
    <row r="49" spans="1:8" x14ac:dyDescent="0.25">
      <c r="A49" s="29" t="s">
        <v>265</v>
      </c>
      <c r="B49" s="29" t="s">
        <v>264</v>
      </c>
      <c r="C49" s="28">
        <v>0</v>
      </c>
      <c r="D49" s="27">
        <v>-37</v>
      </c>
      <c r="E49" s="28">
        <v>37</v>
      </c>
      <c r="F49" s="28">
        <v>33.81</v>
      </c>
      <c r="G49" s="28">
        <v>290.27999999999997</v>
      </c>
      <c r="H49" s="27">
        <v>-256.47000000000003</v>
      </c>
    </row>
    <row r="50" spans="1:8" x14ac:dyDescent="0.25">
      <c r="A50" s="29" t="s">
        <v>263</v>
      </c>
      <c r="B50" s="29" t="s">
        <v>262</v>
      </c>
      <c r="C50" s="28">
        <v>0</v>
      </c>
      <c r="D50" s="28">
        <v>44.84</v>
      </c>
      <c r="E50" s="27">
        <v>-44.84</v>
      </c>
      <c r="F50" s="28">
        <v>318.99</v>
      </c>
      <c r="G50" s="28">
        <v>20717.34</v>
      </c>
      <c r="H50" s="27">
        <v>-20398.349999999999</v>
      </c>
    </row>
    <row r="51" spans="1:8" x14ac:dyDescent="0.25">
      <c r="A51" s="29" t="s">
        <v>261</v>
      </c>
      <c r="B51" s="29" t="s">
        <v>259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</row>
    <row r="52" spans="1:8" x14ac:dyDescent="0.25">
      <c r="A52" s="29" t="s">
        <v>260</v>
      </c>
      <c r="B52" s="29" t="s">
        <v>259</v>
      </c>
      <c r="C52" s="28">
        <v>1944.58</v>
      </c>
      <c r="D52" s="28">
        <v>1375.95</v>
      </c>
      <c r="E52" s="28">
        <v>568.63</v>
      </c>
      <c r="F52" s="28">
        <v>19399.439999999999</v>
      </c>
      <c r="G52" s="28">
        <v>20929.27</v>
      </c>
      <c r="H52" s="27">
        <v>-1529.83</v>
      </c>
    </row>
    <row r="53" spans="1:8" x14ac:dyDescent="0.25">
      <c r="A53" s="29" t="s">
        <v>258</v>
      </c>
      <c r="B53" s="29" t="s">
        <v>256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</row>
    <row r="54" spans="1:8" x14ac:dyDescent="0.25">
      <c r="A54" s="29" t="s">
        <v>257</v>
      </c>
      <c r="B54" s="29" t="s">
        <v>256</v>
      </c>
      <c r="C54" s="27">
        <v>-328.77</v>
      </c>
      <c r="D54" s="28">
        <v>459.12</v>
      </c>
      <c r="E54" s="27">
        <v>-787.89</v>
      </c>
      <c r="F54" s="27">
        <v>-1722.6</v>
      </c>
      <c r="G54" s="27">
        <v>-3263.04</v>
      </c>
      <c r="H54" s="28">
        <v>1540.44</v>
      </c>
    </row>
    <row r="55" spans="1:8" x14ac:dyDescent="0.25">
      <c r="A55" s="29" t="s">
        <v>255</v>
      </c>
      <c r="B55" s="29" t="s">
        <v>254</v>
      </c>
      <c r="C55" s="28">
        <v>483.61</v>
      </c>
      <c r="D55" s="28">
        <v>1340.04</v>
      </c>
      <c r="E55" s="27">
        <v>-856.43</v>
      </c>
      <c r="F55" s="28">
        <v>4703.54</v>
      </c>
      <c r="G55" s="28">
        <v>5104.6000000000004</v>
      </c>
      <c r="H55" s="27">
        <v>-401.06</v>
      </c>
    </row>
    <row r="56" spans="1:8" x14ac:dyDescent="0.25">
      <c r="A56" s="29" t="s">
        <v>253</v>
      </c>
      <c r="B56" s="29" t="s">
        <v>252</v>
      </c>
      <c r="C56" s="28">
        <v>184.65</v>
      </c>
      <c r="D56" s="28">
        <v>0</v>
      </c>
      <c r="E56" s="28">
        <v>184.65</v>
      </c>
      <c r="F56" s="28">
        <v>12175.09</v>
      </c>
      <c r="G56" s="28">
        <v>15057.46</v>
      </c>
      <c r="H56" s="27">
        <v>-2882.37</v>
      </c>
    </row>
    <row r="57" spans="1:8" x14ac:dyDescent="0.25">
      <c r="A57" s="29" t="s">
        <v>251</v>
      </c>
      <c r="B57" s="29" t="s">
        <v>250</v>
      </c>
      <c r="C57" s="28">
        <v>0</v>
      </c>
      <c r="D57" s="28">
        <v>0</v>
      </c>
      <c r="E57" s="28">
        <v>0</v>
      </c>
      <c r="F57" s="28">
        <v>1536.94</v>
      </c>
      <c r="G57" s="28">
        <v>6385.62</v>
      </c>
      <c r="H57" s="27">
        <v>-4848.68</v>
      </c>
    </row>
    <row r="58" spans="1:8" x14ac:dyDescent="0.25">
      <c r="A58" s="29" t="s">
        <v>249</v>
      </c>
      <c r="B58" s="29" t="s">
        <v>248</v>
      </c>
      <c r="C58" s="28">
        <v>0</v>
      </c>
      <c r="D58" s="28">
        <v>0</v>
      </c>
      <c r="E58" s="28">
        <v>0</v>
      </c>
      <c r="F58" s="28">
        <v>0</v>
      </c>
      <c r="G58" s="28">
        <v>0</v>
      </c>
      <c r="H58" s="28">
        <v>0</v>
      </c>
    </row>
    <row r="59" spans="1:8" x14ac:dyDescent="0.25">
      <c r="A59" s="29" t="s">
        <v>247</v>
      </c>
      <c r="B59" s="29" t="s">
        <v>245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</row>
    <row r="60" spans="1:8" x14ac:dyDescent="0.25">
      <c r="A60" s="29" t="s">
        <v>246</v>
      </c>
      <c r="B60" s="29" t="s">
        <v>245</v>
      </c>
      <c r="C60" s="28">
        <v>1755.53</v>
      </c>
      <c r="D60" s="28">
        <v>1352.49</v>
      </c>
      <c r="E60" s="28">
        <v>403.04</v>
      </c>
      <c r="F60" s="28">
        <v>54861.04</v>
      </c>
      <c r="G60" s="28">
        <v>38072.720000000001</v>
      </c>
      <c r="H60" s="28">
        <v>16788.32</v>
      </c>
    </row>
    <row r="61" spans="1:8" x14ac:dyDescent="0.25">
      <c r="A61" s="29" t="s">
        <v>244</v>
      </c>
      <c r="B61" s="29" t="s">
        <v>243</v>
      </c>
      <c r="C61" s="28">
        <v>0</v>
      </c>
      <c r="D61" s="28">
        <v>84.66</v>
      </c>
      <c r="E61" s="27">
        <v>-84.66</v>
      </c>
      <c r="F61" s="28">
        <v>19577.87</v>
      </c>
      <c r="G61" s="28">
        <v>5446.66</v>
      </c>
      <c r="H61" s="28">
        <v>14131.21</v>
      </c>
    </row>
    <row r="62" spans="1:8" x14ac:dyDescent="0.25">
      <c r="A62" s="29" t="s">
        <v>242</v>
      </c>
      <c r="B62" s="29" t="s">
        <v>241</v>
      </c>
      <c r="C62" s="27">
        <v>-30795.49</v>
      </c>
      <c r="D62" s="28">
        <v>10275.02</v>
      </c>
      <c r="E62" s="27">
        <v>-41070.51</v>
      </c>
      <c r="F62" s="28">
        <v>47347.76</v>
      </c>
      <c r="G62" s="28">
        <v>33849.86</v>
      </c>
      <c r="H62" s="28">
        <v>13497.9</v>
      </c>
    </row>
    <row r="63" spans="1:8" x14ac:dyDescent="0.25">
      <c r="A63" s="29" t="s">
        <v>240</v>
      </c>
      <c r="B63" s="29" t="s">
        <v>136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</row>
    <row r="64" spans="1:8" x14ac:dyDescent="0.25">
      <c r="A64" s="29" t="s">
        <v>239</v>
      </c>
      <c r="B64" s="29" t="s">
        <v>238</v>
      </c>
      <c r="C64" s="28">
        <v>0</v>
      </c>
      <c r="D64" s="28">
        <v>0</v>
      </c>
      <c r="E64" s="28">
        <v>0</v>
      </c>
      <c r="F64" s="28">
        <v>20286.900000000001</v>
      </c>
      <c r="G64" s="28">
        <v>1775.26</v>
      </c>
      <c r="H64" s="28">
        <v>18511.64</v>
      </c>
    </row>
    <row r="65" spans="1:8" x14ac:dyDescent="0.25">
      <c r="A65" s="29" t="s">
        <v>237</v>
      </c>
      <c r="B65" s="29" t="s">
        <v>236</v>
      </c>
      <c r="C65" s="28">
        <v>2304.44</v>
      </c>
      <c r="D65" s="28">
        <v>0</v>
      </c>
      <c r="E65" s="28">
        <v>2304.44</v>
      </c>
      <c r="F65" s="28">
        <v>56566.71</v>
      </c>
      <c r="G65" s="28">
        <v>10276.44</v>
      </c>
      <c r="H65" s="28">
        <v>46290.27</v>
      </c>
    </row>
    <row r="66" spans="1:8" x14ac:dyDescent="0.25">
      <c r="A66" s="29" t="s">
        <v>235</v>
      </c>
      <c r="B66" s="29" t="s">
        <v>234</v>
      </c>
      <c r="C66" s="28">
        <v>570.41999999999996</v>
      </c>
      <c r="D66" s="27">
        <v>-86.89</v>
      </c>
      <c r="E66" s="28">
        <v>657.31</v>
      </c>
      <c r="F66" s="28">
        <v>33366.85</v>
      </c>
      <c r="G66" s="28">
        <v>28704.92</v>
      </c>
      <c r="H66" s="28">
        <v>4661.93</v>
      </c>
    </row>
    <row r="67" spans="1:8" x14ac:dyDescent="0.25">
      <c r="A67" s="29" t="s">
        <v>233</v>
      </c>
      <c r="B67" s="29" t="s">
        <v>232</v>
      </c>
      <c r="C67" s="28">
        <v>388.19</v>
      </c>
      <c r="D67" s="28">
        <v>0</v>
      </c>
      <c r="E67" s="28">
        <v>388.19</v>
      </c>
      <c r="F67" s="28">
        <v>4011.48</v>
      </c>
      <c r="G67" s="28">
        <v>3072.9</v>
      </c>
      <c r="H67" s="28">
        <v>938.58</v>
      </c>
    </row>
    <row r="68" spans="1:8" x14ac:dyDescent="0.25">
      <c r="A68" s="29" t="s">
        <v>231</v>
      </c>
      <c r="B68" s="29" t="s">
        <v>230</v>
      </c>
      <c r="C68" s="28">
        <v>7345</v>
      </c>
      <c r="D68" s="28">
        <v>887.5</v>
      </c>
      <c r="E68" s="28">
        <v>6457.5</v>
      </c>
      <c r="F68" s="28">
        <v>11617.63</v>
      </c>
      <c r="G68" s="28">
        <v>15675.97</v>
      </c>
      <c r="H68" s="27">
        <v>-4058.34</v>
      </c>
    </row>
    <row r="69" spans="1:8" x14ac:dyDescent="0.25">
      <c r="A69" s="29" t="s">
        <v>229</v>
      </c>
      <c r="B69" s="29" t="s">
        <v>228</v>
      </c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</row>
    <row r="70" spans="1:8" x14ac:dyDescent="0.25">
      <c r="A70" s="29" t="s">
        <v>227</v>
      </c>
      <c r="B70" s="29" t="s">
        <v>226</v>
      </c>
      <c r="C70" s="28">
        <v>0</v>
      </c>
      <c r="D70" s="28">
        <v>0</v>
      </c>
      <c r="E70" s="28">
        <v>0</v>
      </c>
      <c r="F70" s="28">
        <v>0</v>
      </c>
      <c r="G70" s="28">
        <v>0</v>
      </c>
      <c r="H70" s="28">
        <v>0</v>
      </c>
    </row>
    <row r="71" spans="1:8" x14ac:dyDescent="0.25">
      <c r="A71" s="29" t="s">
        <v>225</v>
      </c>
      <c r="B71" s="29" t="s">
        <v>224</v>
      </c>
      <c r="C71" s="28">
        <v>0</v>
      </c>
      <c r="D71" s="28">
        <v>0</v>
      </c>
      <c r="E71" s="28">
        <v>0</v>
      </c>
      <c r="F71" s="28">
        <v>8740.75</v>
      </c>
      <c r="G71" s="28">
        <v>5267.41</v>
      </c>
      <c r="H71" s="28">
        <v>3473.34</v>
      </c>
    </row>
    <row r="72" spans="1:8" x14ac:dyDescent="0.25">
      <c r="A72" s="29" t="s">
        <v>223</v>
      </c>
      <c r="B72" s="29" t="s">
        <v>222</v>
      </c>
      <c r="C72" s="28">
        <v>0</v>
      </c>
      <c r="D72" s="28">
        <v>0</v>
      </c>
      <c r="E72" s="28">
        <v>0</v>
      </c>
      <c r="F72" s="28">
        <v>0</v>
      </c>
      <c r="G72" s="28">
        <v>500</v>
      </c>
      <c r="H72" s="27">
        <v>-500</v>
      </c>
    </row>
    <row r="73" spans="1:8" x14ac:dyDescent="0.25">
      <c r="A73" s="29" t="s">
        <v>221</v>
      </c>
      <c r="B73" s="29" t="s">
        <v>220</v>
      </c>
      <c r="C73" s="28">
        <v>3321.11</v>
      </c>
      <c r="D73" s="28">
        <v>3340.05</v>
      </c>
      <c r="E73" s="27">
        <v>-18.940000000000001</v>
      </c>
      <c r="F73" s="28">
        <v>41246.949999999997</v>
      </c>
      <c r="G73" s="28">
        <v>79821.27</v>
      </c>
      <c r="H73" s="27">
        <v>-38574.32</v>
      </c>
    </row>
    <row r="74" spans="1:8" x14ac:dyDescent="0.25">
      <c r="A74" s="29" t="s">
        <v>219</v>
      </c>
      <c r="B74" s="29" t="s">
        <v>218</v>
      </c>
      <c r="C74" s="28">
        <v>170</v>
      </c>
      <c r="D74" s="28">
        <v>0</v>
      </c>
      <c r="E74" s="28">
        <v>170</v>
      </c>
      <c r="F74" s="28">
        <v>170</v>
      </c>
      <c r="G74" s="28">
        <v>0</v>
      </c>
      <c r="H74" s="28">
        <v>170</v>
      </c>
    </row>
    <row r="75" spans="1:8" x14ac:dyDescent="0.25">
      <c r="A75" s="29" t="s">
        <v>217</v>
      </c>
      <c r="B75" s="29" t="s">
        <v>104</v>
      </c>
      <c r="C75" s="28">
        <v>7351.99</v>
      </c>
      <c r="D75" s="28">
        <v>5007.88</v>
      </c>
      <c r="E75" s="28">
        <v>2344.11</v>
      </c>
      <c r="F75" s="28">
        <v>45992.77</v>
      </c>
      <c r="G75" s="28">
        <v>50389.81</v>
      </c>
      <c r="H75" s="27">
        <v>-4397.04</v>
      </c>
    </row>
    <row r="76" spans="1:8" x14ac:dyDescent="0.25">
      <c r="A76" s="29" t="s">
        <v>216</v>
      </c>
      <c r="B76" s="29" t="s">
        <v>104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</row>
    <row r="77" spans="1:8" x14ac:dyDescent="0.25">
      <c r="A77" s="29" t="s">
        <v>215</v>
      </c>
      <c r="B77" s="29" t="s">
        <v>102</v>
      </c>
      <c r="C77" s="28">
        <v>6167.1</v>
      </c>
      <c r="D77" s="28">
        <v>7123.4</v>
      </c>
      <c r="E77" s="27">
        <v>-956.3</v>
      </c>
      <c r="F77" s="28">
        <v>79013.27</v>
      </c>
      <c r="G77" s="28">
        <v>89420.89</v>
      </c>
      <c r="H77" s="27">
        <v>-10407.620000000001</v>
      </c>
    </row>
    <row r="78" spans="1:8" x14ac:dyDescent="0.25">
      <c r="A78" s="29" t="s">
        <v>214</v>
      </c>
      <c r="B78" s="29" t="s">
        <v>100</v>
      </c>
      <c r="C78" s="28">
        <v>2775.11</v>
      </c>
      <c r="D78" s="28">
        <v>2691.43</v>
      </c>
      <c r="E78" s="28">
        <v>83.68</v>
      </c>
      <c r="F78" s="28">
        <v>32380.85</v>
      </c>
      <c r="G78" s="28">
        <v>30843.51</v>
      </c>
      <c r="H78" s="28">
        <v>1537.34</v>
      </c>
    </row>
    <row r="79" spans="1:8" x14ac:dyDescent="0.25">
      <c r="A79" s="29" t="s">
        <v>213</v>
      </c>
      <c r="B79" s="29" t="s">
        <v>92</v>
      </c>
      <c r="C79" s="28">
        <v>42385.13</v>
      </c>
      <c r="D79" s="28">
        <v>12292.44</v>
      </c>
      <c r="E79" s="28">
        <v>30092.69</v>
      </c>
      <c r="F79" s="28">
        <v>154697.4</v>
      </c>
      <c r="G79" s="28">
        <v>66834.070000000007</v>
      </c>
      <c r="H79" s="28">
        <v>87863.33</v>
      </c>
    </row>
    <row r="80" spans="1:8" x14ac:dyDescent="0.25">
      <c r="A80" s="29"/>
      <c r="B80" s="29" t="s">
        <v>212</v>
      </c>
      <c r="C80" s="28">
        <v>474640.83</v>
      </c>
      <c r="D80" s="28">
        <v>775502.4</v>
      </c>
      <c r="E80" s="27">
        <v>-300861.57</v>
      </c>
      <c r="F80" s="28">
        <v>4306089.72</v>
      </c>
      <c r="G80" s="28">
        <v>4901995.1900000004</v>
      </c>
      <c r="H80" s="27">
        <v>-595905.47</v>
      </c>
    </row>
    <row r="81" spans="1:8" x14ac:dyDescent="0.25">
      <c r="B81" s="29" t="s">
        <v>51</v>
      </c>
    </row>
    <row r="82" spans="1:8" x14ac:dyDescent="0.25">
      <c r="A82" s="29"/>
      <c r="B82" s="29" t="s">
        <v>211</v>
      </c>
      <c r="C82" s="28">
        <v>776194.86</v>
      </c>
      <c r="D82" s="27">
        <v>-259196.04</v>
      </c>
      <c r="E82" s="28">
        <v>1035390.9</v>
      </c>
      <c r="F82" s="28">
        <v>3593438.73</v>
      </c>
      <c r="G82" s="28">
        <v>4219799.67</v>
      </c>
      <c r="H82" s="27">
        <v>-626360.93999999994</v>
      </c>
    </row>
    <row r="83" spans="1:8" x14ac:dyDescent="0.25">
      <c r="B83" s="29" t="s">
        <v>51</v>
      </c>
    </row>
    <row r="84" spans="1:8" x14ac:dyDescent="0.25">
      <c r="B84" s="29" t="s">
        <v>210</v>
      </c>
    </row>
    <row r="85" spans="1:8" x14ac:dyDescent="0.25">
      <c r="A85" s="29" t="s">
        <v>209</v>
      </c>
      <c r="B85" s="29" t="s">
        <v>207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</row>
    <row r="86" spans="1:8" x14ac:dyDescent="0.25">
      <c r="A86" s="29" t="s">
        <v>208</v>
      </c>
      <c r="B86" s="29" t="s">
        <v>207</v>
      </c>
      <c r="C86" s="28">
        <v>42369.2</v>
      </c>
      <c r="D86" s="28">
        <v>86562.94</v>
      </c>
      <c r="E86" s="27">
        <v>-44193.74</v>
      </c>
      <c r="F86" s="28">
        <v>505055.52</v>
      </c>
      <c r="G86" s="28">
        <v>489254.32</v>
      </c>
      <c r="H86" s="28">
        <v>15801.2</v>
      </c>
    </row>
    <row r="87" spans="1:8" x14ac:dyDescent="0.25">
      <c r="A87" s="29" t="s">
        <v>206</v>
      </c>
      <c r="B87" s="29" t="s">
        <v>90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x14ac:dyDescent="0.25">
      <c r="A88" s="29" t="s">
        <v>205</v>
      </c>
      <c r="B88" s="29" t="s">
        <v>90</v>
      </c>
      <c r="C88" s="28">
        <v>2659.04</v>
      </c>
      <c r="D88" s="28">
        <v>2518.4</v>
      </c>
      <c r="E88" s="28">
        <v>140.63999999999999</v>
      </c>
      <c r="F88" s="28">
        <v>30002.58</v>
      </c>
      <c r="G88" s="28">
        <v>37528.67</v>
      </c>
      <c r="H88" s="27">
        <v>-7526.09</v>
      </c>
    </row>
    <row r="89" spans="1:8" x14ac:dyDescent="0.25">
      <c r="A89" s="29" t="s">
        <v>204</v>
      </c>
      <c r="B89" s="29" t="s">
        <v>154</v>
      </c>
      <c r="C89" s="28">
        <v>0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</row>
    <row r="90" spans="1:8" x14ac:dyDescent="0.25">
      <c r="A90" s="29" t="s">
        <v>203</v>
      </c>
      <c r="B90" s="29" t="s">
        <v>154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</row>
    <row r="91" spans="1:8" x14ac:dyDescent="0.25">
      <c r="A91" s="29" t="s">
        <v>202</v>
      </c>
      <c r="B91" s="29" t="s">
        <v>154</v>
      </c>
      <c r="C91" s="28">
        <v>1475.38</v>
      </c>
      <c r="D91" s="28">
        <v>3308.5</v>
      </c>
      <c r="E91" s="27">
        <v>-1833.12</v>
      </c>
      <c r="F91" s="28">
        <v>27354.73</v>
      </c>
      <c r="G91" s="28">
        <v>28185.24</v>
      </c>
      <c r="H91" s="27">
        <v>-830.51</v>
      </c>
    </row>
    <row r="92" spans="1:8" x14ac:dyDescent="0.25">
      <c r="A92" s="29" t="s">
        <v>201</v>
      </c>
      <c r="B92" s="29" t="s">
        <v>88</v>
      </c>
      <c r="C92" s="28">
        <v>8225.6</v>
      </c>
      <c r="D92" s="28">
        <v>2133.89</v>
      </c>
      <c r="E92" s="28">
        <v>6091.71</v>
      </c>
      <c r="F92" s="28">
        <v>59438.03</v>
      </c>
      <c r="G92" s="28">
        <v>61655.97</v>
      </c>
      <c r="H92" s="27">
        <v>-2217.94</v>
      </c>
    </row>
    <row r="93" spans="1:8" x14ac:dyDescent="0.25">
      <c r="A93" s="29" t="s">
        <v>200</v>
      </c>
      <c r="B93" s="29" t="s">
        <v>88</v>
      </c>
      <c r="C93" s="28">
        <v>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</row>
    <row r="94" spans="1:8" x14ac:dyDescent="0.25">
      <c r="A94" s="29" t="s">
        <v>199</v>
      </c>
      <c r="B94" s="29" t="s">
        <v>144</v>
      </c>
      <c r="C94" s="28">
        <v>0</v>
      </c>
      <c r="D94" s="28">
        <v>0</v>
      </c>
      <c r="E94" s="28">
        <v>0</v>
      </c>
      <c r="F94" s="28">
        <v>336</v>
      </c>
      <c r="G94" s="28">
        <v>2223.0500000000002</v>
      </c>
      <c r="H94" s="27">
        <v>-1887.05</v>
      </c>
    </row>
    <row r="95" spans="1:8" x14ac:dyDescent="0.25">
      <c r="A95" s="29" t="s">
        <v>198</v>
      </c>
      <c r="B95" s="29" t="s">
        <v>144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</row>
    <row r="96" spans="1:8" x14ac:dyDescent="0.25">
      <c r="A96" s="29" t="s">
        <v>197</v>
      </c>
      <c r="B96" s="29" t="s">
        <v>195</v>
      </c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</row>
    <row r="97" spans="1:8" x14ac:dyDescent="0.25">
      <c r="A97" s="29" t="s">
        <v>196</v>
      </c>
      <c r="B97" s="29" t="s">
        <v>195</v>
      </c>
      <c r="C97" s="28">
        <v>13428.69</v>
      </c>
      <c r="D97" s="28">
        <v>6540</v>
      </c>
      <c r="E97" s="28">
        <v>6888.69</v>
      </c>
      <c r="F97" s="28">
        <v>82772.89</v>
      </c>
      <c r="G97" s="28">
        <v>84397.759999999995</v>
      </c>
      <c r="H97" s="27">
        <v>-1624.87</v>
      </c>
    </row>
    <row r="98" spans="1:8" x14ac:dyDescent="0.25">
      <c r="A98" s="29" t="s">
        <v>194</v>
      </c>
      <c r="B98" s="29" t="s">
        <v>193</v>
      </c>
      <c r="C98" s="28">
        <v>549.36</v>
      </c>
      <c r="D98" s="28">
        <v>0</v>
      </c>
      <c r="E98" s="28">
        <v>549.36</v>
      </c>
      <c r="F98" s="28">
        <v>1182.31</v>
      </c>
      <c r="G98" s="28">
        <v>1117.55</v>
      </c>
      <c r="H98" s="28">
        <v>64.760000000000005</v>
      </c>
    </row>
    <row r="99" spans="1:8" x14ac:dyDescent="0.25">
      <c r="A99" s="29" t="s">
        <v>192</v>
      </c>
      <c r="B99" s="29" t="s">
        <v>191</v>
      </c>
      <c r="C99" s="28">
        <v>141.25</v>
      </c>
      <c r="D99" s="28">
        <v>661.43</v>
      </c>
      <c r="E99" s="27">
        <v>-520.17999999999995</v>
      </c>
      <c r="F99" s="28">
        <v>1367.5</v>
      </c>
      <c r="G99" s="28">
        <v>10039.02</v>
      </c>
      <c r="H99" s="27">
        <v>-8671.52</v>
      </c>
    </row>
    <row r="100" spans="1:8" x14ac:dyDescent="0.25">
      <c r="A100" s="29" t="s">
        <v>190</v>
      </c>
      <c r="B100" s="29" t="s">
        <v>189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</row>
    <row r="101" spans="1:8" x14ac:dyDescent="0.25">
      <c r="A101" s="29" t="s">
        <v>188</v>
      </c>
      <c r="B101" s="29" t="s">
        <v>187</v>
      </c>
      <c r="C101" s="27">
        <v>-14902.33</v>
      </c>
      <c r="D101" s="28">
        <v>27266.76</v>
      </c>
      <c r="E101" s="27">
        <v>-42169.09</v>
      </c>
      <c r="F101" s="28">
        <v>126199.59</v>
      </c>
      <c r="G101" s="28">
        <v>205967.35</v>
      </c>
      <c r="H101" s="27">
        <v>-79767.759999999995</v>
      </c>
    </row>
    <row r="102" spans="1:8" x14ac:dyDescent="0.25">
      <c r="A102" s="29" t="s">
        <v>186</v>
      </c>
      <c r="B102" s="29" t="s">
        <v>185</v>
      </c>
      <c r="C102" s="28">
        <v>0</v>
      </c>
      <c r="D102" s="28">
        <v>0</v>
      </c>
      <c r="E102" s="28">
        <v>0</v>
      </c>
      <c r="F102" s="28">
        <v>4902.16</v>
      </c>
      <c r="G102" s="28">
        <v>4668.72</v>
      </c>
      <c r="H102" s="28">
        <v>233.44</v>
      </c>
    </row>
    <row r="103" spans="1:8" x14ac:dyDescent="0.25">
      <c r="A103" s="29" t="s">
        <v>184</v>
      </c>
      <c r="B103" s="29" t="s">
        <v>183</v>
      </c>
      <c r="C103" s="28">
        <v>0</v>
      </c>
      <c r="D103" s="28">
        <v>0</v>
      </c>
      <c r="E103" s="28">
        <v>0</v>
      </c>
      <c r="F103" s="28">
        <v>0</v>
      </c>
      <c r="G103" s="28">
        <v>0</v>
      </c>
      <c r="H103" s="28">
        <v>0</v>
      </c>
    </row>
    <row r="104" spans="1:8" x14ac:dyDescent="0.25">
      <c r="A104" s="29" t="s">
        <v>182</v>
      </c>
      <c r="B104" s="29" t="s">
        <v>181</v>
      </c>
      <c r="C104" s="28">
        <v>0</v>
      </c>
      <c r="D104" s="28">
        <v>315.02</v>
      </c>
      <c r="E104" s="27">
        <v>-315.02</v>
      </c>
      <c r="F104" s="28">
        <v>0</v>
      </c>
      <c r="G104" s="28">
        <v>1094.29</v>
      </c>
      <c r="H104" s="27">
        <v>-1094.29</v>
      </c>
    </row>
    <row r="105" spans="1:8" x14ac:dyDescent="0.25">
      <c r="A105" s="29" t="s">
        <v>180</v>
      </c>
      <c r="B105" s="29" t="s">
        <v>179</v>
      </c>
      <c r="C105" s="28">
        <v>0</v>
      </c>
      <c r="D105" s="28">
        <v>117.25</v>
      </c>
      <c r="E105" s="27">
        <v>-117.25</v>
      </c>
      <c r="F105" s="28">
        <v>2890.89</v>
      </c>
      <c r="G105" s="28">
        <v>5034.6899999999996</v>
      </c>
      <c r="H105" s="27">
        <v>-2143.8000000000002</v>
      </c>
    </row>
    <row r="106" spans="1:8" x14ac:dyDescent="0.25">
      <c r="A106" s="29" t="s">
        <v>178</v>
      </c>
      <c r="B106" s="29" t="s">
        <v>177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</row>
    <row r="107" spans="1:8" x14ac:dyDescent="0.25">
      <c r="A107" s="29" t="s">
        <v>176</v>
      </c>
      <c r="B107" s="29" t="s">
        <v>175</v>
      </c>
      <c r="C107" s="28">
        <v>0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</row>
    <row r="108" spans="1:8" x14ac:dyDescent="0.25">
      <c r="A108" s="29" t="s">
        <v>174</v>
      </c>
      <c r="B108" s="29" t="s">
        <v>173</v>
      </c>
      <c r="C108" s="28">
        <v>0</v>
      </c>
      <c r="D108" s="28">
        <v>0</v>
      </c>
      <c r="E108" s="28">
        <v>0</v>
      </c>
      <c r="F108" s="28">
        <v>0</v>
      </c>
      <c r="G108" s="28">
        <v>0</v>
      </c>
      <c r="H108" s="28">
        <v>0</v>
      </c>
    </row>
    <row r="109" spans="1:8" x14ac:dyDescent="0.25">
      <c r="A109" s="29" t="s">
        <v>172</v>
      </c>
      <c r="B109" s="29" t="s">
        <v>171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</row>
    <row r="110" spans="1:8" x14ac:dyDescent="0.25">
      <c r="A110" s="29"/>
      <c r="B110" s="29" t="s">
        <v>170</v>
      </c>
      <c r="C110" s="28">
        <v>53946.19</v>
      </c>
      <c r="D110" s="28">
        <v>129424.19</v>
      </c>
      <c r="E110" s="27">
        <v>-75478</v>
      </c>
      <c r="F110" s="28">
        <v>841502.2</v>
      </c>
      <c r="G110" s="28">
        <v>931166.63</v>
      </c>
      <c r="H110" s="27">
        <v>-89664.43</v>
      </c>
    </row>
    <row r="111" spans="1:8" x14ac:dyDescent="0.25">
      <c r="B111" s="29" t="s">
        <v>51</v>
      </c>
    </row>
    <row r="112" spans="1:8" x14ac:dyDescent="0.25">
      <c r="B112" s="29" t="s">
        <v>169</v>
      </c>
    </row>
    <row r="113" spans="1:8" x14ac:dyDescent="0.25">
      <c r="A113" s="29" t="s">
        <v>168</v>
      </c>
      <c r="B113" s="29" t="s">
        <v>166</v>
      </c>
      <c r="C113" s="28">
        <v>0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</row>
    <row r="114" spans="1:8" x14ac:dyDescent="0.25">
      <c r="A114" s="29" t="s">
        <v>167</v>
      </c>
      <c r="B114" s="29" t="s">
        <v>166</v>
      </c>
      <c r="C114" s="28">
        <v>9615.4</v>
      </c>
      <c r="D114" s="28">
        <v>31375.39</v>
      </c>
      <c r="E114" s="27">
        <v>-21759.99</v>
      </c>
      <c r="F114" s="28">
        <v>310653.95</v>
      </c>
      <c r="G114" s="28">
        <v>364361.49</v>
      </c>
      <c r="H114" s="27">
        <v>-53707.54</v>
      </c>
    </row>
    <row r="115" spans="1:8" x14ac:dyDescent="0.25">
      <c r="A115" s="29" t="s">
        <v>165</v>
      </c>
      <c r="B115" s="29" t="s">
        <v>163</v>
      </c>
      <c r="C115" s="28">
        <v>0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</row>
    <row r="116" spans="1:8" x14ac:dyDescent="0.25">
      <c r="A116" s="29" t="s">
        <v>164</v>
      </c>
      <c r="B116" s="29" t="s">
        <v>163</v>
      </c>
      <c r="C116" s="28">
        <v>30782.53</v>
      </c>
      <c r="D116" s="28">
        <v>32168.240000000002</v>
      </c>
      <c r="E116" s="27">
        <v>-1385.71</v>
      </c>
      <c r="F116" s="28">
        <v>376966.94</v>
      </c>
      <c r="G116" s="28">
        <v>344191.96</v>
      </c>
      <c r="H116" s="28">
        <v>32774.980000000003</v>
      </c>
    </row>
    <row r="117" spans="1:8" x14ac:dyDescent="0.25">
      <c r="A117" s="29" t="s">
        <v>162</v>
      </c>
      <c r="B117" s="29" t="s">
        <v>160</v>
      </c>
      <c r="C117" s="28">
        <v>0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</row>
    <row r="118" spans="1:8" x14ac:dyDescent="0.25">
      <c r="A118" s="29" t="s">
        <v>161</v>
      </c>
      <c r="B118" s="29" t="s">
        <v>160</v>
      </c>
      <c r="C118" s="28">
        <v>19384.64</v>
      </c>
      <c r="D118" s="28">
        <v>15230.8</v>
      </c>
      <c r="E118" s="28">
        <v>4153.84</v>
      </c>
      <c r="F118" s="28">
        <v>216538.76</v>
      </c>
      <c r="G118" s="28">
        <v>180000.34</v>
      </c>
      <c r="H118" s="28">
        <v>36538.42</v>
      </c>
    </row>
    <row r="119" spans="1:8" x14ac:dyDescent="0.25">
      <c r="A119" s="29" t="s">
        <v>159</v>
      </c>
      <c r="B119" s="29" t="s">
        <v>90</v>
      </c>
      <c r="C119" s="28">
        <v>0</v>
      </c>
      <c r="D119" s="28">
        <v>0</v>
      </c>
      <c r="E119" s="28">
        <v>0</v>
      </c>
      <c r="F119" s="28">
        <v>0</v>
      </c>
      <c r="G119" s="28">
        <v>3.99</v>
      </c>
      <c r="H119" s="27">
        <v>-3.99</v>
      </c>
    </row>
    <row r="120" spans="1:8" x14ac:dyDescent="0.25">
      <c r="A120" s="29" t="s">
        <v>158</v>
      </c>
      <c r="B120" s="29" t="s">
        <v>90</v>
      </c>
      <c r="C120" s="28">
        <v>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</row>
    <row r="121" spans="1:8" x14ac:dyDescent="0.25">
      <c r="A121" s="29" t="s">
        <v>157</v>
      </c>
      <c r="B121" s="29" t="s">
        <v>90</v>
      </c>
      <c r="C121" s="28">
        <v>0</v>
      </c>
      <c r="D121" s="28">
        <v>2795.63</v>
      </c>
      <c r="E121" s="27">
        <v>-2795.63</v>
      </c>
      <c r="F121" s="28">
        <v>22720.54</v>
      </c>
      <c r="G121" s="28">
        <v>28599.98</v>
      </c>
      <c r="H121" s="27">
        <v>-5879.44</v>
      </c>
    </row>
    <row r="122" spans="1:8" x14ac:dyDescent="0.25">
      <c r="A122" s="29" t="s">
        <v>156</v>
      </c>
      <c r="B122" s="29" t="s">
        <v>154</v>
      </c>
      <c r="C122" s="28">
        <v>0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</row>
    <row r="123" spans="1:8" x14ac:dyDescent="0.25">
      <c r="A123" s="29" t="s">
        <v>155</v>
      </c>
      <c r="B123" s="29" t="s">
        <v>154</v>
      </c>
      <c r="C123" s="28">
        <v>4758.16</v>
      </c>
      <c r="D123" s="28">
        <v>5736.93</v>
      </c>
      <c r="E123" s="27">
        <v>-978.77</v>
      </c>
      <c r="F123" s="28">
        <v>68673.72</v>
      </c>
      <c r="G123" s="28">
        <v>64657.08</v>
      </c>
      <c r="H123" s="28">
        <v>4016.64</v>
      </c>
    </row>
    <row r="124" spans="1:8" x14ac:dyDescent="0.25">
      <c r="A124" s="29" t="s">
        <v>153</v>
      </c>
      <c r="B124" s="29" t="s">
        <v>152</v>
      </c>
      <c r="C124" s="28">
        <v>2058.5500000000002</v>
      </c>
      <c r="D124" s="28">
        <v>2158.77</v>
      </c>
      <c r="E124" s="27">
        <v>-100.22</v>
      </c>
      <c r="F124" s="28">
        <v>18730.22</v>
      </c>
      <c r="G124" s="28">
        <v>16517.39</v>
      </c>
      <c r="H124" s="28">
        <v>2212.83</v>
      </c>
    </row>
    <row r="125" spans="1:8" x14ac:dyDescent="0.25">
      <c r="A125" s="29" t="s">
        <v>151</v>
      </c>
      <c r="B125" s="29" t="s">
        <v>150</v>
      </c>
      <c r="C125" s="28">
        <v>0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</row>
    <row r="126" spans="1:8" x14ac:dyDescent="0.25">
      <c r="A126" s="29" t="s">
        <v>149</v>
      </c>
      <c r="B126" s="29" t="s">
        <v>88</v>
      </c>
      <c r="C126" s="28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</row>
    <row r="127" spans="1:8" x14ac:dyDescent="0.25">
      <c r="A127" s="29" t="s">
        <v>148</v>
      </c>
      <c r="B127" s="29" t="s">
        <v>88</v>
      </c>
      <c r="C127" s="28">
        <v>2470.59</v>
      </c>
      <c r="D127" s="28">
        <v>975.78</v>
      </c>
      <c r="E127" s="28">
        <v>1494.81</v>
      </c>
      <c r="F127" s="28">
        <v>17066.98</v>
      </c>
      <c r="G127" s="28">
        <v>19684.490000000002</v>
      </c>
      <c r="H127" s="27">
        <v>-2617.5100000000002</v>
      </c>
    </row>
    <row r="128" spans="1:8" x14ac:dyDescent="0.25">
      <c r="A128" s="29" t="s">
        <v>147</v>
      </c>
      <c r="B128" s="29" t="s">
        <v>88</v>
      </c>
      <c r="C128" s="28">
        <v>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</row>
    <row r="129" spans="1:8" x14ac:dyDescent="0.25">
      <c r="A129" s="29" t="s">
        <v>146</v>
      </c>
      <c r="B129" s="29" t="s">
        <v>144</v>
      </c>
      <c r="C129" s="28">
        <v>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</row>
    <row r="130" spans="1:8" x14ac:dyDescent="0.25">
      <c r="A130" s="29" t="s">
        <v>145</v>
      </c>
      <c r="B130" s="29" t="s">
        <v>144</v>
      </c>
      <c r="C130" s="28">
        <v>6196.37</v>
      </c>
      <c r="D130" s="28">
        <v>35718.21</v>
      </c>
      <c r="E130" s="27">
        <v>-29521.84</v>
      </c>
      <c r="F130" s="28">
        <v>20648.54</v>
      </c>
      <c r="G130" s="28">
        <v>53282.98</v>
      </c>
      <c r="H130" s="27">
        <v>-32634.44</v>
      </c>
    </row>
    <row r="131" spans="1:8" x14ac:dyDescent="0.25">
      <c r="A131" s="29" t="s">
        <v>143</v>
      </c>
      <c r="B131" s="29" t="s">
        <v>142</v>
      </c>
      <c r="C131" s="28">
        <v>24935</v>
      </c>
      <c r="D131" s="28">
        <v>4000</v>
      </c>
      <c r="E131" s="28">
        <v>20935</v>
      </c>
      <c r="F131" s="28">
        <v>64935</v>
      </c>
      <c r="G131" s="28">
        <v>80475</v>
      </c>
      <c r="H131" s="27">
        <v>-15540</v>
      </c>
    </row>
    <row r="132" spans="1:8" x14ac:dyDescent="0.25">
      <c r="A132" s="29" t="s">
        <v>141</v>
      </c>
      <c r="B132" s="29" t="s">
        <v>140</v>
      </c>
      <c r="C132" s="28">
        <v>0</v>
      </c>
      <c r="D132" s="28">
        <v>0</v>
      </c>
      <c r="E132" s="28">
        <v>0</v>
      </c>
      <c r="F132" s="28">
        <v>10000</v>
      </c>
      <c r="G132" s="28">
        <v>11413.5</v>
      </c>
      <c r="H132" s="27">
        <v>-1413.5</v>
      </c>
    </row>
    <row r="133" spans="1:8" x14ac:dyDescent="0.25">
      <c r="A133" s="29" t="s">
        <v>139</v>
      </c>
      <c r="B133" s="29" t="s">
        <v>138</v>
      </c>
      <c r="C133" s="28">
        <v>17643.54</v>
      </c>
      <c r="D133" s="28">
        <v>31472.39</v>
      </c>
      <c r="E133" s="27">
        <v>-13828.85</v>
      </c>
      <c r="F133" s="28">
        <v>174638.99</v>
      </c>
      <c r="G133" s="28">
        <v>117307.48</v>
      </c>
      <c r="H133" s="28">
        <v>57331.51</v>
      </c>
    </row>
    <row r="134" spans="1:8" x14ac:dyDescent="0.25">
      <c r="A134" s="29" t="s">
        <v>137</v>
      </c>
      <c r="B134" s="29" t="s">
        <v>136</v>
      </c>
      <c r="C134" s="28">
        <v>0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</row>
    <row r="135" spans="1:8" x14ac:dyDescent="0.25">
      <c r="A135" s="29" t="s">
        <v>135</v>
      </c>
      <c r="B135" s="29" t="s">
        <v>134</v>
      </c>
      <c r="C135" s="28">
        <v>40000</v>
      </c>
      <c r="D135" s="28">
        <v>45000</v>
      </c>
      <c r="E135" s="27">
        <v>-5000</v>
      </c>
      <c r="F135" s="28">
        <v>40396.129999999997</v>
      </c>
      <c r="G135" s="28">
        <v>46532.37</v>
      </c>
      <c r="H135" s="27">
        <v>-6136.24</v>
      </c>
    </row>
    <row r="136" spans="1:8" x14ac:dyDescent="0.25">
      <c r="A136" s="29" t="s">
        <v>133</v>
      </c>
      <c r="B136" s="29" t="s">
        <v>132</v>
      </c>
      <c r="C136" s="28">
        <v>730.38</v>
      </c>
      <c r="D136" s="28">
        <v>730.38</v>
      </c>
      <c r="E136" s="28">
        <v>0</v>
      </c>
      <c r="F136" s="28">
        <v>4382.28</v>
      </c>
      <c r="G136" s="28">
        <v>4470.91</v>
      </c>
      <c r="H136" s="27">
        <v>-88.63</v>
      </c>
    </row>
    <row r="137" spans="1:8" x14ac:dyDescent="0.25">
      <c r="A137" s="29" t="s">
        <v>131</v>
      </c>
      <c r="B137" s="29" t="s">
        <v>129</v>
      </c>
      <c r="C137" s="28">
        <v>0</v>
      </c>
      <c r="D137" s="28">
        <v>0</v>
      </c>
      <c r="E137" s="28">
        <v>0</v>
      </c>
      <c r="F137" s="28">
        <v>0</v>
      </c>
      <c r="G137" s="28">
        <v>0</v>
      </c>
      <c r="H137" s="28">
        <v>0</v>
      </c>
    </row>
    <row r="138" spans="1:8" x14ac:dyDescent="0.25">
      <c r="A138" s="29" t="s">
        <v>130</v>
      </c>
      <c r="B138" s="29" t="s">
        <v>129</v>
      </c>
      <c r="C138" s="28">
        <v>3335.67</v>
      </c>
      <c r="D138" s="28">
        <v>1102.93</v>
      </c>
      <c r="E138" s="28">
        <v>2232.7399999999998</v>
      </c>
      <c r="F138" s="28">
        <v>47016.800000000003</v>
      </c>
      <c r="G138" s="28">
        <v>54147.21</v>
      </c>
      <c r="H138" s="27">
        <v>-7130.41</v>
      </c>
    </row>
    <row r="139" spans="1:8" x14ac:dyDescent="0.25">
      <c r="A139" s="29" t="s">
        <v>128</v>
      </c>
      <c r="B139" s="29" t="s">
        <v>127</v>
      </c>
      <c r="C139" s="28">
        <v>290.99</v>
      </c>
      <c r="D139" s="28">
        <v>777.95</v>
      </c>
      <c r="E139" s="27">
        <v>-486.96</v>
      </c>
      <c r="F139" s="28">
        <v>6869.11</v>
      </c>
      <c r="G139" s="28">
        <v>8410.18</v>
      </c>
      <c r="H139" s="27">
        <v>-1541.07</v>
      </c>
    </row>
    <row r="140" spans="1:8" x14ac:dyDescent="0.25">
      <c r="A140" s="29" t="s">
        <v>126</v>
      </c>
      <c r="B140" s="29" t="s">
        <v>124</v>
      </c>
      <c r="C140" s="28">
        <v>0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</row>
    <row r="141" spans="1:8" x14ac:dyDescent="0.25">
      <c r="A141" s="29" t="s">
        <v>125</v>
      </c>
      <c r="B141" s="29" t="s">
        <v>124</v>
      </c>
      <c r="C141" s="28">
        <v>149</v>
      </c>
      <c r="D141" s="28">
        <v>500</v>
      </c>
      <c r="E141" s="27">
        <v>-351</v>
      </c>
      <c r="F141" s="28">
        <v>5504.89</v>
      </c>
      <c r="G141" s="28">
        <v>6483.35</v>
      </c>
      <c r="H141" s="27">
        <v>-978.46</v>
      </c>
    </row>
    <row r="142" spans="1:8" x14ac:dyDescent="0.25">
      <c r="A142" s="29" t="s">
        <v>123</v>
      </c>
      <c r="B142" s="29" t="s">
        <v>121</v>
      </c>
      <c r="C142" s="28">
        <v>0</v>
      </c>
      <c r="D142" s="28">
        <v>0</v>
      </c>
      <c r="E142" s="28">
        <v>0</v>
      </c>
      <c r="F142" s="28">
        <v>0</v>
      </c>
      <c r="G142" s="28">
        <v>0</v>
      </c>
      <c r="H142" s="28">
        <v>0</v>
      </c>
    </row>
    <row r="143" spans="1:8" x14ac:dyDescent="0.25">
      <c r="A143" s="29" t="s">
        <v>122</v>
      </c>
      <c r="B143" s="29" t="s">
        <v>121</v>
      </c>
      <c r="C143" s="28">
        <v>12600.86</v>
      </c>
      <c r="D143" s="28">
        <v>4454.1499999999996</v>
      </c>
      <c r="E143" s="28">
        <v>8146.71</v>
      </c>
      <c r="F143" s="28">
        <v>35205.800000000003</v>
      </c>
      <c r="G143" s="28">
        <v>25832</v>
      </c>
      <c r="H143" s="28">
        <v>9373.7999999999993</v>
      </c>
    </row>
    <row r="144" spans="1:8" x14ac:dyDescent="0.25">
      <c r="A144" s="29" t="s">
        <v>120</v>
      </c>
      <c r="B144" s="29" t="s">
        <v>119</v>
      </c>
      <c r="C144" s="28">
        <v>871.14</v>
      </c>
      <c r="D144" s="28">
        <v>1661.09</v>
      </c>
      <c r="E144" s="27">
        <v>-789.95</v>
      </c>
      <c r="F144" s="28">
        <v>15264.53</v>
      </c>
      <c r="G144" s="28">
        <v>15611.16</v>
      </c>
      <c r="H144" s="27">
        <v>-346.63</v>
      </c>
    </row>
    <row r="145" spans="1:8" x14ac:dyDescent="0.25">
      <c r="A145" s="29" t="s">
        <v>118</v>
      </c>
      <c r="B145" s="29" t="s">
        <v>116</v>
      </c>
      <c r="C145" s="28">
        <v>0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</row>
    <row r="146" spans="1:8" x14ac:dyDescent="0.25">
      <c r="A146" s="29" t="s">
        <v>117</v>
      </c>
      <c r="B146" s="29" t="s">
        <v>116</v>
      </c>
      <c r="C146" s="28">
        <v>465.81</v>
      </c>
      <c r="D146" s="28">
        <v>230.24</v>
      </c>
      <c r="E146" s="28">
        <v>235.57</v>
      </c>
      <c r="F146" s="28">
        <v>5669.5</v>
      </c>
      <c r="G146" s="28">
        <v>4797.75</v>
      </c>
      <c r="H146" s="28">
        <v>871.75</v>
      </c>
    </row>
    <row r="147" spans="1:8" x14ac:dyDescent="0.25">
      <c r="A147" s="29" t="s">
        <v>115</v>
      </c>
      <c r="B147" s="29" t="s">
        <v>113</v>
      </c>
      <c r="C147" s="28">
        <v>0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</row>
    <row r="148" spans="1:8" x14ac:dyDescent="0.25">
      <c r="A148" s="29" t="s">
        <v>114</v>
      </c>
      <c r="B148" s="29" t="s">
        <v>113</v>
      </c>
      <c r="C148" s="28">
        <v>1625</v>
      </c>
      <c r="D148" s="28">
        <v>300</v>
      </c>
      <c r="E148" s="28">
        <v>1325</v>
      </c>
      <c r="F148" s="28">
        <v>2635</v>
      </c>
      <c r="G148" s="28">
        <v>7885</v>
      </c>
      <c r="H148" s="27">
        <v>-5250</v>
      </c>
    </row>
    <row r="149" spans="1:8" x14ac:dyDescent="0.25">
      <c r="A149" s="29" t="s">
        <v>112</v>
      </c>
      <c r="B149" s="29" t="s">
        <v>111</v>
      </c>
      <c r="C149" s="28">
        <v>4717.16</v>
      </c>
      <c r="D149" s="28">
        <v>1326.76</v>
      </c>
      <c r="E149" s="28">
        <v>3390.4</v>
      </c>
      <c r="F149" s="28">
        <v>16713.34</v>
      </c>
      <c r="G149" s="28">
        <v>10722.71</v>
      </c>
      <c r="H149" s="28">
        <v>5990.63</v>
      </c>
    </row>
    <row r="150" spans="1:8" x14ac:dyDescent="0.25">
      <c r="A150" s="29" t="s">
        <v>110</v>
      </c>
      <c r="B150" s="29" t="s">
        <v>109</v>
      </c>
      <c r="C150" s="28">
        <v>2335.5300000000002</v>
      </c>
      <c r="D150" s="28">
        <v>81.77</v>
      </c>
      <c r="E150" s="28">
        <v>2253.7600000000002</v>
      </c>
      <c r="F150" s="28">
        <v>18260.75</v>
      </c>
      <c r="G150" s="28">
        <v>8150.03</v>
      </c>
      <c r="H150" s="28">
        <v>10110.719999999999</v>
      </c>
    </row>
    <row r="151" spans="1:8" x14ac:dyDescent="0.25">
      <c r="A151" s="29" t="s">
        <v>108</v>
      </c>
      <c r="B151" s="29" t="s">
        <v>106</v>
      </c>
      <c r="C151" s="28">
        <v>0</v>
      </c>
      <c r="D151" s="28">
        <v>0</v>
      </c>
      <c r="E151" s="28">
        <v>0</v>
      </c>
      <c r="F151" s="28">
        <v>0</v>
      </c>
      <c r="G151" s="28">
        <v>0</v>
      </c>
      <c r="H151" s="28">
        <v>0</v>
      </c>
    </row>
    <row r="152" spans="1:8" x14ac:dyDescent="0.25">
      <c r="A152" s="29" t="s">
        <v>107</v>
      </c>
      <c r="B152" s="29" t="s">
        <v>106</v>
      </c>
      <c r="C152" s="28">
        <v>48.76</v>
      </c>
      <c r="D152" s="28">
        <v>452.64</v>
      </c>
      <c r="E152" s="27">
        <v>-403.88</v>
      </c>
      <c r="F152" s="28">
        <v>308.20999999999998</v>
      </c>
      <c r="G152" s="28">
        <v>655.1</v>
      </c>
      <c r="H152" s="27">
        <v>-346.89</v>
      </c>
    </row>
    <row r="153" spans="1:8" x14ac:dyDescent="0.25">
      <c r="A153" s="29" t="s">
        <v>105</v>
      </c>
      <c r="B153" s="29" t="s">
        <v>104</v>
      </c>
      <c r="C153" s="28">
        <v>1297.4100000000001</v>
      </c>
      <c r="D153" s="28">
        <v>883.75</v>
      </c>
      <c r="E153" s="28">
        <v>413.66</v>
      </c>
      <c r="F153" s="28">
        <v>8116.42</v>
      </c>
      <c r="G153" s="28">
        <v>8892.3700000000008</v>
      </c>
      <c r="H153" s="27">
        <v>-775.95</v>
      </c>
    </row>
    <row r="154" spans="1:8" x14ac:dyDescent="0.25">
      <c r="A154" s="29" t="s">
        <v>103</v>
      </c>
      <c r="B154" s="29" t="s">
        <v>102</v>
      </c>
      <c r="C154" s="28">
        <v>3489.11</v>
      </c>
      <c r="D154" s="28">
        <v>3770.62</v>
      </c>
      <c r="E154" s="27">
        <v>-281.51</v>
      </c>
      <c r="F154" s="28">
        <v>19929.91</v>
      </c>
      <c r="G154" s="28">
        <v>21389.66</v>
      </c>
      <c r="H154" s="27">
        <v>-1459.75</v>
      </c>
    </row>
    <row r="155" spans="1:8" x14ac:dyDescent="0.25">
      <c r="A155" s="29" t="s">
        <v>101</v>
      </c>
      <c r="B155" s="29" t="s">
        <v>100</v>
      </c>
      <c r="C155" s="28">
        <v>489.72</v>
      </c>
      <c r="D155" s="28">
        <v>474.96</v>
      </c>
      <c r="E155" s="28">
        <v>14.76</v>
      </c>
      <c r="F155" s="28">
        <v>5714.28</v>
      </c>
      <c r="G155" s="28">
        <v>5442.88</v>
      </c>
      <c r="H155" s="28">
        <v>271.39999999999998</v>
      </c>
    </row>
    <row r="156" spans="1:8" x14ac:dyDescent="0.25">
      <c r="A156" s="29" t="s">
        <v>99</v>
      </c>
      <c r="B156" s="29" t="s">
        <v>98</v>
      </c>
      <c r="C156" s="28">
        <v>175000</v>
      </c>
      <c r="D156" s="28">
        <v>150000</v>
      </c>
      <c r="E156" s="28">
        <v>25000</v>
      </c>
      <c r="F156" s="28">
        <v>175000</v>
      </c>
      <c r="G156" s="28">
        <v>150000</v>
      </c>
      <c r="H156" s="28">
        <v>25000</v>
      </c>
    </row>
    <row r="157" spans="1:8" x14ac:dyDescent="0.25">
      <c r="A157" s="29" t="s">
        <v>97</v>
      </c>
      <c r="B157" s="29" t="s">
        <v>96</v>
      </c>
      <c r="C157" s="28">
        <v>0</v>
      </c>
      <c r="D157" s="28">
        <v>0</v>
      </c>
      <c r="E157" s="28">
        <v>0</v>
      </c>
      <c r="F157" s="28">
        <v>5450</v>
      </c>
      <c r="G157" s="28">
        <v>6340</v>
      </c>
      <c r="H157" s="27">
        <v>-890</v>
      </c>
    </row>
    <row r="158" spans="1:8" x14ac:dyDescent="0.25">
      <c r="A158" s="29" t="s">
        <v>95</v>
      </c>
      <c r="B158" s="29" t="s">
        <v>94</v>
      </c>
      <c r="C158" s="28">
        <v>0</v>
      </c>
      <c r="D158" s="28">
        <v>0</v>
      </c>
      <c r="E158" s="28">
        <v>0</v>
      </c>
      <c r="F158" s="27">
        <v>-8.35</v>
      </c>
      <c r="G158" s="28">
        <v>1625.22</v>
      </c>
      <c r="H158" s="27">
        <v>-1633.57</v>
      </c>
    </row>
    <row r="159" spans="1:8" x14ac:dyDescent="0.25">
      <c r="A159" s="29" t="s">
        <v>93</v>
      </c>
      <c r="B159" s="29" t="s">
        <v>92</v>
      </c>
      <c r="C159" s="28">
        <v>1131.3</v>
      </c>
      <c r="D159" s="28">
        <v>2169.25</v>
      </c>
      <c r="E159" s="27">
        <v>-1037.95</v>
      </c>
      <c r="F159" s="28">
        <v>13575.6</v>
      </c>
      <c r="G159" s="28">
        <v>11794.25</v>
      </c>
      <c r="H159" s="28">
        <v>1781.35</v>
      </c>
    </row>
    <row r="160" spans="1:8" x14ac:dyDescent="0.25">
      <c r="A160" s="29" t="s">
        <v>91</v>
      </c>
      <c r="B160" s="29" t="s">
        <v>90</v>
      </c>
      <c r="C160" s="28">
        <v>0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</row>
    <row r="161" spans="1:8" x14ac:dyDescent="0.25">
      <c r="A161" s="29" t="s">
        <v>89</v>
      </c>
      <c r="B161" s="29" t="s">
        <v>88</v>
      </c>
      <c r="C161" s="28">
        <v>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</row>
    <row r="162" spans="1:8" x14ac:dyDescent="0.25">
      <c r="A162" s="29"/>
      <c r="B162" s="29" t="s">
        <v>87</v>
      </c>
      <c r="C162" s="28">
        <v>366422.62</v>
      </c>
      <c r="D162" s="28">
        <v>375548.63</v>
      </c>
      <c r="E162" s="27">
        <v>-9126.01</v>
      </c>
      <c r="F162" s="28">
        <v>1727577.84</v>
      </c>
      <c r="G162" s="28">
        <v>1679677.83</v>
      </c>
      <c r="H162" s="28">
        <v>47900.01</v>
      </c>
    </row>
    <row r="163" spans="1:8" x14ac:dyDescent="0.25">
      <c r="B163" s="29" t="s">
        <v>51</v>
      </c>
    </row>
    <row r="164" spans="1:8" x14ac:dyDescent="0.25">
      <c r="B164" s="29" t="s">
        <v>86</v>
      </c>
    </row>
    <row r="165" spans="1:8" x14ac:dyDescent="0.25">
      <c r="A165" s="29" t="s">
        <v>85</v>
      </c>
      <c r="B165" s="29" t="s">
        <v>84</v>
      </c>
      <c r="C165" s="28">
        <v>19.87</v>
      </c>
      <c r="D165" s="27">
        <v>-65.900000000000006</v>
      </c>
      <c r="E165" s="28">
        <v>85.77</v>
      </c>
      <c r="F165" s="27">
        <v>-0.38</v>
      </c>
      <c r="G165" s="27">
        <v>-213.02</v>
      </c>
      <c r="H165" s="28">
        <v>212.64</v>
      </c>
    </row>
    <row r="166" spans="1:8" x14ac:dyDescent="0.25">
      <c r="A166" s="29" t="s">
        <v>83</v>
      </c>
      <c r="B166" s="29" t="s">
        <v>82</v>
      </c>
      <c r="C166" s="28">
        <v>389.24</v>
      </c>
      <c r="D166" s="28">
        <v>450.12</v>
      </c>
      <c r="E166" s="27">
        <v>-60.88</v>
      </c>
      <c r="F166" s="28">
        <v>6403.54</v>
      </c>
      <c r="G166" s="28">
        <v>12674.97</v>
      </c>
      <c r="H166" s="27">
        <v>-6271.43</v>
      </c>
    </row>
    <row r="167" spans="1:8" x14ac:dyDescent="0.25">
      <c r="A167" s="29" t="s">
        <v>81</v>
      </c>
      <c r="B167" s="29" t="s">
        <v>80</v>
      </c>
      <c r="C167" s="28">
        <v>0</v>
      </c>
      <c r="D167" s="28">
        <v>0</v>
      </c>
      <c r="E167" s="28">
        <v>0</v>
      </c>
      <c r="F167" s="28">
        <v>0</v>
      </c>
      <c r="G167" s="28">
        <v>35.93</v>
      </c>
      <c r="H167" s="27">
        <v>-35.93</v>
      </c>
    </row>
    <row r="168" spans="1:8" x14ac:dyDescent="0.25">
      <c r="A168" s="29" t="s">
        <v>79</v>
      </c>
      <c r="B168" s="29" t="s">
        <v>78</v>
      </c>
      <c r="C168" s="27">
        <v>-3878.91</v>
      </c>
      <c r="D168" s="27">
        <v>-135.63999999999999</v>
      </c>
      <c r="E168" s="27">
        <v>-3743.27</v>
      </c>
      <c r="F168" s="27">
        <v>-13668.09</v>
      </c>
      <c r="G168" s="27">
        <v>-135.63999999999999</v>
      </c>
      <c r="H168" s="27">
        <v>-13532.45</v>
      </c>
    </row>
    <row r="169" spans="1:8" x14ac:dyDescent="0.25">
      <c r="A169" s="29" t="s">
        <v>77</v>
      </c>
      <c r="B169" s="29" t="s">
        <v>76</v>
      </c>
      <c r="C169" s="28">
        <v>3801.01</v>
      </c>
      <c r="D169" s="28">
        <v>3448.65</v>
      </c>
      <c r="E169" s="28">
        <v>352.36</v>
      </c>
      <c r="F169" s="28">
        <v>14523.47</v>
      </c>
      <c r="G169" s="28">
        <v>19565.509999999998</v>
      </c>
      <c r="H169" s="27">
        <v>-5042.04</v>
      </c>
    </row>
    <row r="170" spans="1:8" x14ac:dyDescent="0.25">
      <c r="A170" s="29" t="s">
        <v>75</v>
      </c>
      <c r="B170" s="29" t="s">
        <v>74</v>
      </c>
      <c r="C170" s="28">
        <v>0</v>
      </c>
      <c r="D170" s="28">
        <v>0</v>
      </c>
      <c r="E170" s="28">
        <v>0</v>
      </c>
      <c r="F170" s="28">
        <v>0</v>
      </c>
      <c r="G170" s="28">
        <v>7</v>
      </c>
      <c r="H170" s="27">
        <v>-7</v>
      </c>
    </row>
    <row r="171" spans="1:8" x14ac:dyDescent="0.25">
      <c r="A171" s="29" t="s">
        <v>73</v>
      </c>
      <c r="B171" s="29" t="s">
        <v>72</v>
      </c>
      <c r="C171" s="28">
        <v>0</v>
      </c>
      <c r="D171" s="28">
        <v>0</v>
      </c>
      <c r="E171" s="28">
        <v>0</v>
      </c>
      <c r="F171" s="28">
        <v>0</v>
      </c>
      <c r="G171" s="28">
        <v>92359.85</v>
      </c>
      <c r="H171" s="27">
        <v>-92359.85</v>
      </c>
    </row>
    <row r="172" spans="1:8" x14ac:dyDescent="0.25">
      <c r="A172" s="29" t="s">
        <v>71</v>
      </c>
      <c r="B172" s="29" t="s">
        <v>70</v>
      </c>
      <c r="C172" s="28">
        <v>0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</row>
    <row r="173" spans="1:8" x14ac:dyDescent="0.25">
      <c r="A173" s="29" t="s">
        <v>69</v>
      </c>
      <c r="B173" s="29" t="s">
        <v>68</v>
      </c>
      <c r="C173" s="28">
        <v>0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</row>
    <row r="174" spans="1:8" x14ac:dyDescent="0.25">
      <c r="A174" s="29" t="s">
        <v>67</v>
      </c>
      <c r="B174" s="29" t="s">
        <v>66</v>
      </c>
      <c r="C174" s="28">
        <v>0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</row>
    <row r="175" spans="1:8" x14ac:dyDescent="0.25">
      <c r="A175" s="29" t="s">
        <v>65</v>
      </c>
      <c r="B175" s="29" t="s">
        <v>64</v>
      </c>
      <c r="C175" s="28">
        <v>0</v>
      </c>
      <c r="D175" s="28">
        <v>0</v>
      </c>
      <c r="E175" s="28">
        <v>0</v>
      </c>
      <c r="F175" s="28">
        <v>0</v>
      </c>
      <c r="G175" s="28">
        <v>0</v>
      </c>
      <c r="H175" s="28">
        <v>0</v>
      </c>
    </row>
    <row r="176" spans="1:8" x14ac:dyDescent="0.25">
      <c r="A176" s="29" t="s">
        <v>63</v>
      </c>
      <c r="B176" s="29" t="s">
        <v>62</v>
      </c>
      <c r="C176" s="28">
        <v>0</v>
      </c>
      <c r="D176" s="28">
        <v>8746.18</v>
      </c>
      <c r="E176" s="27">
        <v>-8746.18</v>
      </c>
      <c r="F176" s="28">
        <v>0</v>
      </c>
      <c r="G176" s="28">
        <v>0</v>
      </c>
      <c r="H176" s="28">
        <v>0</v>
      </c>
    </row>
    <row r="177" spans="1:8" x14ac:dyDescent="0.25">
      <c r="A177" s="29"/>
      <c r="B177" s="29" t="s">
        <v>61</v>
      </c>
      <c r="C177" s="28">
        <v>331.21</v>
      </c>
      <c r="D177" s="28">
        <v>12443.41</v>
      </c>
      <c r="E177" s="27">
        <v>-12112.2</v>
      </c>
      <c r="F177" s="28">
        <v>7258.54</v>
      </c>
      <c r="G177" s="28">
        <v>124294.6</v>
      </c>
      <c r="H177" s="27">
        <v>-117036.06</v>
      </c>
    </row>
    <row r="178" spans="1:8" x14ac:dyDescent="0.25">
      <c r="B178" s="29" t="s">
        <v>51</v>
      </c>
    </row>
    <row r="179" spans="1:8" x14ac:dyDescent="0.25">
      <c r="A179" s="29"/>
      <c r="B179" s="29" t="s">
        <v>60</v>
      </c>
      <c r="C179" s="28">
        <v>356157.26</v>
      </c>
      <c r="D179" s="27">
        <v>-751725.45</v>
      </c>
      <c r="E179" s="28">
        <v>1107882.71</v>
      </c>
      <c r="F179" s="28">
        <v>1031617.23</v>
      </c>
      <c r="G179" s="28">
        <v>1733249.81</v>
      </c>
      <c r="H179" s="27">
        <v>-701632.58</v>
      </c>
    </row>
    <row r="180" spans="1:8" x14ac:dyDescent="0.25">
      <c r="B180" s="29" t="s">
        <v>51</v>
      </c>
    </row>
    <row r="181" spans="1:8" x14ac:dyDescent="0.25">
      <c r="B181" s="29" t="s">
        <v>59</v>
      </c>
    </row>
    <row r="182" spans="1:8" x14ac:dyDescent="0.25">
      <c r="A182" s="29" t="s">
        <v>58</v>
      </c>
      <c r="B182" s="29" t="s">
        <v>57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</row>
    <row r="183" spans="1:8" x14ac:dyDescent="0.25">
      <c r="A183" s="29" t="s">
        <v>56</v>
      </c>
      <c r="B183" s="29" t="s">
        <v>55</v>
      </c>
      <c r="C183" s="28">
        <v>0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</row>
    <row r="184" spans="1:8" x14ac:dyDescent="0.25">
      <c r="A184" s="29" t="s">
        <v>54</v>
      </c>
      <c r="B184" s="29" t="s">
        <v>53</v>
      </c>
      <c r="C184" s="28">
        <v>26209.75</v>
      </c>
      <c r="D184" s="28">
        <v>166364.31</v>
      </c>
      <c r="E184" s="27">
        <v>-140154.56</v>
      </c>
      <c r="F184" s="28">
        <v>30766.59</v>
      </c>
      <c r="G184" s="28">
        <v>177114.31</v>
      </c>
      <c r="H184" s="27">
        <v>-146347.72</v>
      </c>
    </row>
    <row r="185" spans="1:8" x14ac:dyDescent="0.25">
      <c r="A185" s="29"/>
      <c r="B185" s="29" t="s">
        <v>52</v>
      </c>
      <c r="C185" s="28">
        <v>26209.75</v>
      </c>
      <c r="D185" s="28">
        <v>166364.31</v>
      </c>
      <c r="E185" s="27">
        <v>-140154.56</v>
      </c>
      <c r="F185" s="28">
        <v>30766.59</v>
      </c>
      <c r="G185" s="28">
        <v>177114.31</v>
      </c>
      <c r="H185" s="27">
        <v>-146347.72</v>
      </c>
    </row>
    <row r="186" spans="1:8" x14ac:dyDescent="0.25">
      <c r="B186" s="29" t="s">
        <v>51</v>
      </c>
    </row>
    <row r="187" spans="1:8" x14ac:dyDescent="0.25">
      <c r="A187" s="29"/>
      <c r="B187" s="29" t="s">
        <v>50</v>
      </c>
      <c r="C187" s="28">
        <v>329947.51</v>
      </c>
      <c r="D187" s="27">
        <v>-918089.76</v>
      </c>
      <c r="E187" s="28">
        <v>1248037.27</v>
      </c>
      <c r="F187" s="28">
        <v>1000850.64</v>
      </c>
      <c r="G187" s="28">
        <v>1556135.5</v>
      </c>
      <c r="H187" s="27">
        <v>-555284.86</v>
      </c>
    </row>
  </sheetData>
  <pageMargins left="0.75" right="0.75" top="1.5" bottom="1" header="0.5" footer="0.5"/>
  <pageSetup orientation="portrait"/>
  <headerFooter alignWithMargins="0">
    <oddHeader xml:space="preserve">&amp;C American Aerospace Controls Inc.
INCOME STATEMENT
FOR PERIOD ENDING:  12/31/2023
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4DF7-461F-4F38-B8DB-4E3CF962A049}">
  <dimension ref="A1:H187"/>
  <sheetViews>
    <sheetView showGridLines="0" workbookViewId="0"/>
  </sheetViews>
  <sheetFormatPr defaultColWidth="9.08984375" defaultRowHeight="12.5" x14ac:dyDescent="0.25"/>
  <cols>
    <col min="1" max="1" width="13.6328125" style="26" customWidth="1"/>
    <col min="2" max="2" width="40.6328125" style="26" customWidth="1"/>
    <col min="3" max="4" width="16.6328125" style="26" customWidth="1"/>
    <col min="5" max="7" width="14.6328125" style="26" customWidth="1"/>
    <col min="8" max="8" width="16.6328125" style="26" customWidth="1"/>
    <col min="9" max="16384" width="9.08984375" style="26"/>
  </cols>
  <sheetData>
    <row r="1" spans="1:8" x14ac:dyDescent="0.25">
      <c r="A1" s="29" t="s">
        <v>342</v>
      </c>
      <c r="B1" s="29" t="s">
        <v>341</v>
      </c>
      <c r="C1" s="29" t="s">
        <v>340</v>
      </c>
      <c r="D1" s="29" t="s">
        <v>340</v>
      </c>
      <c r="E1" s="29" t="s">
        <v>337</v>
      </c>
      <c r="F1" s="29" t="s">
        <v>339</v>
      </c>
      <c r="G1" s="29" t="s">
        <v>338</v>
      </c>
      <c r="H1" s="29" t="s">
        <v>337</v>
      </c>
    </row>
    <row r="2" spans="1:8" x14ac:dyDescent="0.25">
      <c r="A2" s="29" t="s">
        <v>2</v>
      </c>
      <c r="B2" s="29" t="s">
        <v>2</v>
      </c>
      <c r="C2" s="29" t="s">
        <v>2</v>
      </c>
      <c r="D2" s="29" t="s">
        <v>336</v>
      </c>
      <c r="E2" s="29" t="s">
        <v>2</v>
      </c>
      <c r="F2" s="29" t="s">
        <v>2</v>
      </c>
      <c r="G2" s="29" t="s">
        <v>336</v>
      </c>
      <c r="H2" s="29" t="s">
        <v>2</v>
      </c>
    </row>
    <row r="3" spans="1:8" x14ac:dyDescent="0.25">
      <c r="B3" s="29" t="s">
        <v>335</v>
      </c>
    </row>
    <row r="4" spans="1:8" x14ac:dyDescent="0.25">
      <c r="A4" s="29" t="s">
        <v>334</v>
      </c>
      <c r="B4" s="29" t="s">
        <v>332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</row>
    <row r="5" spans="1:8" x14ac:dyDescent="0.25">
      <c r="A5" s="29" t="s">
        <v>333</v>
      </c>
      <c r="B5" s="29" t="s">
        <v>332</v>
      </c>
      <c r="C5" s="28">
        <v>937459.54</v>
      </c>
      <c r="D5" s="28">
        <v>1245336.3999999999</v>
      </c>
      <c r="E5" s="27">
        <v>-307876.86</v>
      </c>
      <c r="F5" s="28">
        <v>6241831.3799999999</v>
      </c>
      <c r="G5" s="28">
        <v>7883831.6100000003</v>
      </c>
      <c r="H5" s="27">
        <v>-1642000.23</v>
      </c>
    </row>
    <row r="6" spans="1:8" x14ac:dyDescent="0.25">
      <c r="A6" s="29" t="s">
        <v>331</v>
      </c>
      <c r="B6" s="29" t="s">
        <v>330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</row>
    <row r="7" spans="1:8" x14ac:dyDescent="0.25">
      <c r="A7" s="29" t="s">
        <v>329</v>
      </c>
      <c r="B7" s="29" t="s">
        <v>322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</row>
    <row r="8" spans="1:8" x14ac:dyDescent="0.25">
      <c r="A8" s="29" t="s">
        <v>328</v>
      </c>
      <c r="B8" s="29" t="s">
        <v>322</v>
      </c>
      <c r="C8" s="27">
        <v>-102</v>
      </c>
      <c r="D8" s="27">
        <v>-0.71</v>
      </c>
      <c r="E8" s="27">
        <v>-101.29</v>
      </c>
      <c r="F8" s="27">
        <v>-951.59</v>
      </c>
      <c r="G8" s="28">
        <v>2653.95</v>
      </c>
      <c r="H8" s="27">
        <v>-3605.54</v>
      </c>
    </row>
    <row r="9" spans="1:8" x14ac:dyDescent="0.25">
      <c r="A9" s="29" t="s">
        <v>327</v>
      </c>
      <c r="B9" s="29" t="s">
        <v>326</v>
      </c>
      <c r="C9" s="28">
        <v>2300</v>
      </c>
      <c r="D9" s="28">
        <v>5500</v>
      </c>
      <c r="E9" s="27">
        <v>-3200</v>
      </c>
      <c r="F9" s="28">
        <v>24408</v>
      </c>
      <c r="G9" s="28">
        <v>13042.89</v>
      </c>
      <c r="H9" s="28">
        <v>11365.11</v>
      </c>
    </row>
    <row r="10" spans="1:8" x14ac:dyDescent="0.25">
      <c r="A10" s="29" t="s">
        <v>325</v>
      </c>
      <c r="B10" s="29" t="s">
        <v>324</v>
      </c>
      <c r="C10" s="28">
        <v>364232</v>
      </c>
      <c r="D10" s="28">
        <v>0</v>
      </c>
      <c r="E10" s="28">
        <v>364232</v>
      </c>
      <c r="F10" s="28">
        <v>662042</v>
      </c>
      <c r="G10" s="28">
        <v>0</v>
      </c>
      <c r="H10" s="28">
        <v>662042</v>
      </c>
    </row>
    <row r="11" spans="1:8" x14ac:dyDescent="0.25">
      <c r="A11" s="29" t="s">
        <v>323</v>
      </c>
      <c r="B11" s="29" t="s">
        <v>322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</row>
    <row r="12" spans="1:8" x14ac:dyDescent="0.25">
      <c r="A12" s="29"/>
      <c r="B12" s="29" t="s">
        <v>321</v>
      </c>
      <c r="C12" s="28">
        <v>1303889.54</v>
      </c>
      <c r="D12" s="28">
        <v>1250835.69</v>
      </c>
      <c r="E12" s="28">
        <v>53053.85</v>
      </c>
      <c r="F12" s="28">
        <v>6927329.79</v>
      </c>
      <c r="G12" s="28">
        <v>7899528.4500000002</v>
      </c>
      <c r="H12" s="27">
        <v>-972198.66</v>
      </c>
    </row>
    <row r="13" spans="1:8" x14ac:dyDescent="0.25">
      <c r="B13" s="29" t="s">
        <v>51</v>
      </c>
    </row>
    <row r="14" spans="1:8" x14ac:dyDescent="0.25">
      <c r="B14" s="29" t="s">
        <v>320</v>
      </c>
    </row>
    <row r="15" spans="1:8" x14ac:dyDescent="0.25">
      <c r="A15" s="29" t="s">
        <v>319</v>
      </c>
      <c r="B15" s="29" t="s">
        <v>318</v>
      </c>
      <c r="C15" s="27">
        <v>-209294.31</v>
      </c>
      <c r="D15" s="28">
        <v>76639.33</v>
      </c>
      <c r="E15" s="27">
        <v>-285933.64</v>
      </c>
      <c r="F15" s="28">
        <v>329002.48</v>
      </c>
      <c r="G15" s="28">
        <v>679907.15</v>
      </c>
      <c r="H15" s="27">
        <v>-350904.67</v>
      </c>
    </row>
    <row r="16" spans="1:8" x14ac:dyDescent="0.25">
      <c r="A16" s="29" t="s">
        <v>317</v>
      </c>
      <c r="B16" s="29" t="s">
        <v>316</v>
      </c>
      <c r="C16" s="28">
        <v>29716.65</v>
      </c>
      <c r="D16" s="28">
        <v>52120.78</v>
      </c>
      <c r="E16" s="27">
        <v>-22404.13</v>
      </c>
      <c r="F16" s="28">
        <v>262033.83</v>
      </c>
      <c r="G16" s="28">
        <v>315197.93</v>
      </c>
      <c r="H16" s="27">
        <v>-53164.1</v>
      </c>
    </row>
    <row r="17" spans="1:8" x14ac:dyDescent="0.25">
      <c r="A17" s="29" t="s">
        <v>315</v>
      </c>
      <c r="B17" s="29" t="s">
        <v>314</v>
      </c>
      <c r="C17" s="28">
        <v>44657.41</v>
      </c>
      <c r="D17" s="28">
        <v>78436.09</v>
      </c>
      <c r="E17" s="27">
        <v>-33778.68</v>
      </c>
      <c r="F17" s="28">
        <v>393475.86</v>
      </c>
      <c r="G17" s="28">
        <v>473199.62</v>
      </c>
      <c r="H17" s="27">
        <v>-79723.759999999995</v>
      </c>
    </row>
    <row r="18" spans="1:8" x14ac:dyDescent="0.25">
      <c r="A18" s="29" t="s">
        <v>313</v>
      </c>
      <c r="B18" s="29" t="s">
        <v>312</v>
      </c>
      <c r="C18" s="28">
        <v>9512.15</v>
      </c>
      <c r="D18" s="28">
        <v>22493.41</v>
      </c>
      <c r="E18" s="27">
        <v>-12981.26</v>
      </c>
      <c r="F18" s="28">
        <v>160421.85</v>
      </c>
      <c r="G18" s="28">
        <v>127658.9</v>
      </c>
      <c r="H18" s="28">
        <v>32762.95</v>
      </c>
    </row>
    <row r="19" spans="1:8" x14ac:dyDescent="0.25">
      <c r="A19" s="29" t="s">
        <v>311</v>
      </c>
      <c r="B19" s="29" t="s">
        <v>310</v>
      </c>
      <c r="C19" s="28">
        <v>40776</v>
      </c>
      <c r="D19" s="28">
        <v>0</v>
      </c>
      <c r="E19" s="28">
        <v>40776</v>
      </c>
      <c r="F19" s="28">
        <v>139158.5</v>
      </c>
      <c r="G19" s="28">
        <v>0</v>
      </c>
      <c r="H19" s="28">
        <v>139158.5</v>
      </c>
    </row>
    <row r="20" spans="1:8" x14ac:dyDescent="0.25">
      <c r="A20" s="29" t="s">
        <v>309</v>
      </c>
      <c r="B20" s="29" t="s">
        <v>308</v>
      </c>
      <c r="C20" s="28">
        <v>0</v>
      </c>
      <c r="D20" s="28">
        <v>0</v>
      </c>
      <c r="E20" s="28">
        <v>0</v>
      </c>
      <c r="F20" s="27">
        <v>-17692.96</v>
      </c>
      <c r="G20" s="27">
        <v>-1925.91</v>
      </c>
      <c r="H20" s="27">
        <v>-15767.05</v>
      </c>
    </row>
    <row r="21" spans="1:8" x14ac:dyDescent="0.25">
      <c r="A21" s="29" t="s">
        <v>307</v>
      </c>
      <c r="B21" s="29" t="s">
        <v>306</v>
      </c>
      <c r="C21" s="28">
        <v>670.34</v>
      </c>
      <c r="D21" s="28">
        <v>1416.88</v>
      </c>
      <c r="E21" s="27">
        <v>-746.54</v>
      </c>
      <c r="F21" s="28">
        <v>13968.14</v>
      </c>
      <c r="G21" s="28">
        <v>42933.69</v>
      </c>
      <c r="H21" s="27">
        <v>-28965.55</v>
      </c>
    </row>
    <row r="22" spans="1:8" x14ac:dyDescent="0.25">
      <c r="A22" s="29" t="s">
        <v>305</v>
      </c>
      <c r="B22" s="29" t="s">
        <v>304</v>
      </c>
      <c r="C22" s="28">
        <v>3894.66</v>
      </c>
      <c r="D22" s="28">
        <v>5414.97</v>
      </c>
      <c r="E22" s="27">
        <v>-1520.31</v>
      </c>
      <c r="F22" s="28">
        <v>8702.5</v>
      </c>
      <c r="G22" s="28">
        <v>4497.29</v>
      </c>
      <c r="H22" s="28">
        <v>4205.21</v>
      </c>
    </row>
    <row r="23" spans="1:8" x14ac:dyDescent="0.25">
      <c r="A23" s="29" t="s">
        <v>303</v>
      </c>
      <c r="B23" s="29" t="s">
        <v>302</v>
      </c>
      <c r="C23" s="28">
        <v>2790.63</v>
      </c>
      <c r="D23" s="28">
        <v>0</v>
      </c>
      <c r="E23" s="28">
        <v>2790.63</v>
      </c>
      <c r="F23" s="28">
        <v>20052.650000000001</v>
      </c>
      <c r="G23" s="28">
        <v>705.8</v>
      </c>
      <c r="H23" s="28">
        <v>19346.849999999999</v>
      </c>
    </row>
    <row r="24" spans="1:8" x14ac:dyDescent="0.25">
      <c r="A24" s="29" t="s">
        <v>301</v>
      </c>
      <c r="B24" s="29" t="s">
        <v>300</v>
      </c>
      <c r="C24" s="28">
        <v>393.78</v>
      </c>
      <c r="D24" s="28">
        <v>0</v>
      </c>
      <c r="E24" s="28">
        <v>393.78</v>
      </c>
      <c r="F24" s="28">
        <v>2257.29</v>
      </c>
      <c r="G24" s="28">
        <v>0</v>
      </c>
      <c r="H24" s="28">
        <v>2257.29</v>
      </c>
    </row>
    <row r="25" spans="1:8" x14ac:dyDescent="0.25">
      <c r="A25" s="29" t="s">
        <v>299</v>
      </c>
      <c r="B25" s="29" t="s">
        <v>298</v>
      </c>
      <c r="C25" s="27">
        <v>-30009.32</v>
      </c>
      <c r="D25" s="27">
        <v>-18648.88</v>
      </c>
      <c r="E25" s="27">
        <v>-11360.44</v>
      </c>
      <c r="F25" s="27">
        <v>-275881.93</v>
      </c>
      <c r="G25" s="27">
        <v>-338380.1</v>
      </c>
      <c r="H25" s="28">
        <v>62498.17</v>
      </c>
    </row>
    <row r="26" spans="1:8" x14ac:dyDescent="0.25">
      <c r="A26" s="29" t="s">
        <v>297</v>
      </c>
      <c r="B26" s="29" t="s">
        <v>296</v>
      </c>
      <c r="C26" s="27">
        <v>-74821.41</v>
      </c>
      <c r="D26" s="27">
        <v>-28008.39</v>
      </c>
      <c r="E26" s="27">
        <v>-46813.02</v>
      </c>
      <c r="F26" s="27">
        <v>-442512.01</v>
      </c>
      <c r="G26" s="27">
        <v>-507058.11</v>
      </c>
      <c r="H26" s="28">
        <v>64546.1</v>
      </c>
    </row>
    <row r="27" spans="1:8" x14ac:dyDescent="0.25">
      <c r="A27" s="29" t="s">
        <v>295</v>
      </c>
      <c r="B27" s="29" t="s">
        <v>294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</row>
    <row r="28" spans="1:8" x14ac:dyDescent="0.25">
      <c r="A28" s="29" t="s">
        <v>293</v>
      </c>
      <c r="B28" s="29" t="s">
        <v>292</v>
      </c>
      <c r="C28" s="28">
        <v>81745.13</v>
      </c>
      <c r="D28" s="28">
        <v>74424.69</v>
      </c>
      <c r="E28" s="28">
        <v>7320.44</v>
      </c>
      <c r="F28" s="28">
        <v>897988.14</v>
      </c>
      <c r="G28" s="28">
        <v>870948.67</v>
      </c>
      <c r="H28" s="28">
        <v>27039.47</v>
      </c>
    </row>
    <row r="29" spans="1:8" x14ac:dyDescent="0.25">
      <c r="A29" s="29" t="s">
        <v>291</v>
      </c>
      <c r="B29" s="29" t="s">
        <v>287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</row>
    <row r="30" spans="1:8" x14ac:dyDescent="0.25">
      <c r="A30" s="29" t="s">
        <v>290</v>
      </c>
      <c r="B30" s="29" t="s">
        <v>287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</row>
    <row r="31" spans="1:8" x14ac:dyDescent="0.25">
      <c r="A31" s="29" t="s">
        <v>289</v>
      </c>
      <c r="B31" s="29" t="s">
        <v>287</v>
      </c>
      <c r="C31" s="28">
        <v>25958.48</v>
      </c>
      <c r="D31" s="28">
        <v>23342.75</v>
      </c>
      <c r="E31" s="28">
        <v>2615.73</v>
      </c>
      <c r="F31" s="28">
        <v>303629.06</v>
      </c>
      <c r="G31" s="28">
        <v>276735.14</v>
      </c>
      <c r="H31" s="28">
        <v>26893.919999999998</v>
      </c>
    </row>
    <row r="32" spans="1:8" x14ac:dyDescent="0.25">
      <c r="A32" s="29" t="s">
        <v>288</v>
      </c>
      <c r="B32" s="29" t="s">
        <v>287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</row>
    <row r="33" spans="1:8" x14ac:dyDescent="0.25">
      <c r="A33" s="29" t="s">
        <v>286</v>
      </c>
      <c r="B33" s="29" t="s">
        <v>284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</row>
    <row r="34" spans="1:8" x14ac:dyDescent="0.25">
      <c r="A34" s="29" t="s">
        <v>285</v>
      </c>
      <c r="B34" s="29" t="s">
        <v>284</v>
      </c>
      <c r="C34" s="28">
        <v>31024.6</v>
      </c>
      <c r="D34" s="28">
        <v>28348.36</v>
      </c>
      <c r="E34" s="28">
        <v>2676.24</v>
      </c>
      <c r="F34" s="28">
        <v>378144.62</v>
      </c>
      <c r="G34" s="28">
        <v>337047.09</v>
      </c>
      <c r="H34" s="28">
        <v>41097.53</v>
      </c>
    </row>
    <row r="35" spans="1:8" x14ac:dyDescent="0.25">
      <c r="A35" s="29" t="s">
        <v>283</v>
      </c>
      <c r="B35" s="29" t="s">
        <v>280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</row>
    <row r="36" spans="1:8" x14ac:dyDescent="0.25">
      <c r="A36" s="29" t="s">
        <v>282</v>
      </c>
      <c r="B36" s="29" t="s">
        <v>280</v>
      </c>
      <c r="C36" s="28">
        <v>63019.18</v>
      </c>
      <c r="D36" s="28">
        <v>53900.07</v>
      </c>
      <c r="E36" s="28">
        <v>9119.11</v>
      </c>
      <c r="F36" s="28">
        <v>735057.77</v>
      </c>
      <c r="G36" s="28">
        <v>642408.62</v>
      </c>
      <c r="H36" s="28">
        <v>92649.15</v>
      </c>
    </row>
    <row r="37" spans="1:8" x14ac:dyDescent="0.25">
      <c r="A37" s="29" t="s">
        <v>281</v>
      </c>
      <c r="B37" s="29" t="s">
        <v>280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 x14ac:dyDescent="0.25">
      <c r="A38" s="29" t="s">
        <v>279</v>
      </c>
      <c r="B38" s="29" t="s">
        <v>276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x14ac:dyDescent="0.25">
      <c r="A39" s="29" t="s">
        <v>278</v>
      </c>
      <c r="B39" s="29" t="s">
        <v>276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</row>
    <row r="40" spans="1:8" x14ac:dyDescent="0.25">
      <c r="A40" s="29" t="s">
        <v>277</v>
      </c>
      <c r="B40" s="29" t="s">
        <v>276</v>
      </c>
      <c r="C40" s="28">
        <v>26214.36</v>
      </c>
      <c r="D40" s="28">
        <v>18854.509999999998</v>
      </c>
      <c r="E40" s="28">
        <v>7359.85</v>
      </c>
      <c r="F40" s="28">
        <v>276526.28000000003</v>
      </c>
      <c r="G40" s="28">
        <v>247486.07</v>
      </c>
      <c r="H40" s="28">
        <v>29040.21</v>
      </c>
    </row>
    <row r="41" spans="1:8" x14ac:dyDescent="0.25">
      <c r="A41" s="29" t="s">
        <v>275</v>
      </c>
      <c r="B41" s="29" t="s">
        <v>274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</row>
    <row r="42" spans="1:8" x14ac:dyDescent="0.25">
      <c r="A42" s="29" t="s">
        <v>273</v>
      </c>
      <c r="B42" s="29" t="s">
        <v>90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</row>
    <row r="43" spans="1:8" x14ac:dyDescent="0.25">
      <c r="A43" s="29" t="s">
        <v>272</v>
      </c>
      <c r="B43" s="29" t="s">
        <v>90</v>
      </c>
      <c r="C43" s="28">
        <v>28356.720000000001</v>
      </c>
      <c r="D43" s="28">
        <v>27091.41</v>
      </c>
      <c r="E43" s="28">
        <v>1265.31</v>
      </c>
      <c r="F43" s="28">
        <v>328322.82</v>
      </c>
      <c r="G43" s="28">
        <v>305246.74</v>
      </c>
      <c r="H43" s="28">
        <v>23076.080000000002</v>
      </c>
    </row>
    <row r="44" spans="1:8" x14ac:dyDescent="0.25">
      <c r="A44" s="29" t="s">
        <v>271</v>
      </c>
      <c r="B44" s="29" t="s">
        <v>154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</row>
    <row r="45" spans="1:8" x14ac:dyDescent="0.25">
      <c r="A45" s="29" t="s">
        <v>270</v>
      </c>
      <c r="B45" s="29" t="s">
        <v>154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</row>
    <row r="46" spans="1:8" x14ac:dyDescent="0.25">
      <c r="A46" s="29" t="s">
        <v>269</v>
      </c>
      <c r="B46" s="29" t="s">
        <v>154</v>
      </c>
      <c r="C46" s="28">
        <v>14116.54</v>
      </c>
      <c r="D46" s="28">
        <v>12792.25</v>
      </c>
      <c r="E46" s="28">
        <v>1324.29</v>
      </c>
      <c r="F46" s="28">
        <v>197528.57</v>
      </c>
      <c r="G46" s="28">
        <v>183157.69</v>
      </c>
      <c r="H46" s="28">
        <v>14370.88</v>
      </c>
    </row>
    <row r="47" spans="1:8" x14ac:dyDescent="0.25">
      <c r="A47" s="29" t="s">
        <v>268</v>
      </c>
      <c r="B47" s="29" t="s">
        <v>150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</row>
    <row r="48" spans="1:8" x14ac:dyDescent="0.25">
      <c r="A48" s="29" t="s">
        <v>267</v>
      </c>
      <c r="B48" s="29" t="s">
        <v>266</v>
      </c>
      <c r="C48" s="28">
        <v>173.6</v>
      </c>
      <c r="D48" s="28">
        <v>0</v>
      </c>
      <c r="E48" s="28">
        <v>173.6</v>
      </c>
      <c r="F48" s="28">
        <v>358.83</v>
      </c>
      <c r="G48" s="28">
        <v>0</v>
      </c>
      <c r="H48" s="28">
        <v>358.83</v>
      </c>
    </row>
    <row r="49" spans="1:8" x14ac:dyDescent="0.25">
      <c r="A49" s="29" t="s">
        <v>265</v>
      </c>
      <c r="B49" s="29" t="s">
        <v>264</v>
      </c>
      <c r="C49" s="28">
        <v>63.5</v>
      </c>
      <c r="D49" s="28">
        <v>0</v>
      </c>
      <c r="E49" s="28">
        <v>63.5</v>
      </c>
      <c r="F49" s="28">
        <v>530.24</v>
      </c>
      <c r="G49" s="28">
        <v>33.81</v>
      </c>
      <c r="H49" s="28">
        <v>496.43</v>
      </c>
    </row>
    <row r="50" spans="1:8" x14ac:dyDescent="0.25">
      <c r="A50" s="29" t="s">
        <v>263</v>
      </c>
      <c r="B50" s="29" t="s">
        <v>262</v>
      </c>
      <c r="C50" s="28">
        <v>602.62</v>
      </c>
      <c r="D50" s="28">
        <v>0</v>
      </c>
      <c r="E50" s="28">
        <v>602.62</v>
      </c>
      <c r="F50" s="28">
        <v>3428.34</v>
      </c>
      <c r="G50" s="28">
        <v>318.99</v>
      </c>
      <c r="H50" s="28">
        <v>3109.35</v>
      </c>
    </row>
    <row r="51" spans="1:8" x14ac:dyDescent="0.25">
      <c r="A51" s="29" t="s">
        <v>261</v>
      </c>
      <c r="B51" s="29" t="s">
        <v>259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</row>
    <row r="52" spans="1:8" x14ac:dyDescent="0.25">
      <c r="A52" s="29" t="s">
        <v>260</v>
      </c>
      <c r="B52" s="29" t="s">
        <v>259</v>
      </c>
      <c r="C52" s="28">
        <v>1264.42</v>
      </c>
      <c r="D52" s="28">
        <v>1944.58</v>
      </c>
      <c r="E52" s="27">
        <v>-680.16</v>
      </c>
      <c r="F52" s="28">
        <v>18894.060000000001</v>
      </c>
      <c r="G52" s="28">
        <v>19399.439999999999</v>
      </c>
      <c r="H52" s="27">
        <v>-505.38</v>
      </c>
    </row>
    <row r="53" spans="1:8" x14ac:dyDescent="0.25">
      <c r="A53" s="29" t="s">
        <v>258</v>
      </c>
      <c r="B53" s="29" t="s">
        <v>256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</row>
    <row r="54" spans="1:8" x14ac:dyDescent="0.25">
      <c r="A54" s="29" t="s">
        <v>257</v>
      </c>
      <c r="B54" s="29" t="s">
        <v>256</v>
      </c>
      <c r="C54" s="28">
        <v>2773.73</v>
      </c>
      <c r="D54" s="27">
        <v>-328.77</v>
      </c>
      <c r="E54" s="28">
        <v>3102.5</v>
      </c>
      <c r="F54" s="28">
        <v>3053.8</v>
      </c>
      <c r="G54" s="27">
        <v>-1722.6</v>
      </c>
      <c r="H54" s="28">
        <v>4776.3999999999996</v>
      </c>
    </row>
    <row r="55" spans="1:8" x14ac:dyDescent="0.25">
      <c r="A55" s="29" t="s">
        <v>255</v>
      </c>
      <c r="B55" s="29" t="s">
        <v>254</v>
      </c>
      <c r="C55" s="28">
        <v>0</v>
      </c>
      <c r="D55" s="28">
        <v>483.61</v>
      </c>
      <c r="E55" s="27">
        <v>-483.61</v>
      </c>
      <c r="F55" s="28">
        <v>269.8</v>
      </c>
      <c r="G55" s="28">
        <v>4703.54</v>
      </c>
      <c r="H55" s="27">
        <v>-4433.74</v>
      </c>
    </row>
    <row r="56" spans="1:8" x14ac:dyDescent="0.25">
      <c r="A56" s="29" t="s">
        <v>253</v>
      </c>
      <c r="B56" s="29" t="s">
        <v>252</v>
      </c>
      <c r="C56" s="27">
        <v>-266.51</v>
      </c>
      <c r="D56" s="28">
        <v>184.65</v>
      </c>
      <c r="E56" s="27">
        <v>-451.16</v>
      </c>
      <c r="F56" s="28">
        <v>16356.37</v>
      </c>
      <c r="G56" s="28">
        <v>12175.09</v>
      </c>
      <c r="H56" s="28">
        <v>4181.28</v>
      </c>
    </row>
    <row r="57" spans="1:8" x14ac:dyDescent="0.25">
      <c r="A57" s="29" t="s">
        <v>251</v>
      </c>
      <c r="B57" s="29" t="s">
        <v>250</v>
      </c>
      <c r="C57" s="28">
        <v>0</v>
      </c>
      <c r="D57" s="28">
        <v>0</v>
      </c>
      <c r="E57" s="28">
        <v>0</v>
      </c>
      <c r="F57" s="28">
        <v>454.38</v>
      </c>
      <c r="G57" s="28">
        <v>1536.94</v>
      </c>
      <c r="H57" s="27">
        <v>-1082.56</v>
      </c>
    </row>
    <row r="58" spans="1:8" x14ac:dyDescent="0.25">
      <c r="A58" s="29" t="s">
        <v>249</v>
      </c>
      <c r="B58" s="29" t="s">
        <v>248</v>
      </c>
      <c r="C58" s="28">
        <v>0</v>
      </c>
      <c r="D58" s="28">
        <v>0</v>
      </c>
      <c r="E58" s="28">
        <v>0</v>
      </c>
      <c r="F58" s="28">
        <v>4887.1899999999996</v>
      </c>
      <c r="G58" s="28">
        <v>0</v>
      </c>
      <c r="H58" s="28">
        <v>4887.1899999999996</v>
      </c>
    </row>
    <row r="59" spans="1:8" x14ac:dyDescent="0.25">
      <c r="A59" s="29" t="s">
        <v>247</v>
      </c>
      <c r="B59" s="29" t="s">
        <v>245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</row>
    <row r="60" spans="1:8" x14ac:dyDescent="0.25">
      <c r="A60" s="29" t="s">
        <v>246</v>
      </c>
      <c r="B60" s="29" t="s">
        <v>245</v>
      </c>
      <c r="C60" s="28">
        <v>3492.47</v>
      </c>
      <c r="D60" s="28">
        <v>1755.53</v>
      </c>
      <c r="E60" s="28">
        <v>1736.94</v>
      </c>
      <c r="F60" s="28">
        <v>43310.25</v>
      </c>
      <c r="G60" s="28">
        <v>54861.04</v>
      </c>
      <c r="H60" s="27">
        <v>-11550.79</v>
      </c>
    </row>
    <row r="61" spans="1:8" x14ac:dyDescent="0.25">
      <c r="A61" s="29" t="s">
        <v>244</v>
      </c>
      <c r="B61" s="29" t="s">
        <v>243</v>
      </c>
      <c r="C61" s="28">
        <v>0</v>
      </c>
      <c r="D61" s="28">
        <v>0</v>
      </c>
      <c r="E61" s="28">
        <v>0</v>
      </c>
      <c r="F61" s="28">
        <v>20934.63</v>
      </c>
      <c r="G61" s="28">
        <v>19577.87</v>
      </c>
      <c r="H61" s="28">
        <v>1356.76</v>
      </c>
    </row>
    <row r="62" spans="1:8" x14ac:dyDescent="0.25">
      <c r="A62" s="29" t="s">
        <v>242</v>
      </c>
      <c r="B62" s="29" t="s">
        <v>241</v>
      </c>
      <c r="C62" s="28">
        <v>1697.19</v>
      </c>
      <c r="D62" s="27">
        <v>-30795.49</v>
      </c>
      <c r="E62" s="28">
        <v>32492.68</v>
      </c>
      <c r="F62" s="28">
        <v>90193.73</v>
      </c>
      <c r="G62" s="28">
        <v>47347.76</v>
      </c>
      <c r="H62" s="28">
        <v>42845.97</v>
      </c>
    </row>
    <row r="63" spans="1:8" x14ac:dyDescent="0.25">
      <c r="A63" s="29" t="s">
        <v>240</v>
      </c>
      <c r="B63" s="29" t="s">
        <v>136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</row>
    <row r="64" spans="1:8" x14ac:dyDescent="0.25">
      <c r="A64" s="29" t="s">
        <v>239</v>
      </c>
      <c r="B64" s="29" t="s">
        <v>238</v>
      </c>
      <c r="C64" s="28">
        <v>0</v>
      </c>
      <c r="D64" s="28">
        <v>0</v>
      </c>
      <c r="E64" s="28">
        <v>0</v>
      </c>
      <c r="F64" s="28">
        <v>2595.75</v>
      </c>
      <c r="G64" s="28">
        <v>20286.900000000001</v>
      </c>
      <c r="H64" s="27">
        <v>-17691.150000000001</v>
      </c>
    </row>
    <row r="65" spans="1:8" x14ac:dyDescent="0.25">
      <c r="A65" s="29" t="s">
        <v>237</v>
      </c>
      <c r="B65" s="29" t="s">
        <v>236</v>
      </c>
      <c r="C65" s="28">
        <v>520</v>
      </c>
      <c r="D65" s="28">
        <v>2304.44</v>
      </c>
      <c r="E65" s="27">
        <v>-1784.44</v>
      </c>
      <c r="F65" s="28">
        <v>11778.19</v>
      </c>
      <c r="G65" s="28">
        <v>56566.71</v>
      </c>
      <c r="H65" s="27">
        <v>-44788.52</v>
      </c>
    </row>
    <row r="66" spans="1:8" x14ac:dyDescent="0.25">
      <c r="A66" s="29" t="s">
        <v>235</v>
      </c>
      <c r="B66" s="29" t="s">
        <v>234</v>
      </c>
      <c r="C66" s="28">
        <v>0</v>
      </c>
      <c r="D66" s="28">
        <v>570.41999999999996</v>
      </c>
      <c r="E66" s="27">
        <v>-570.41999999999996</v>
      </c>
      <c r="F66" s="28">
        <v>10387.629999999999</v>
      </c>
      <c r="G66" s="28">
        <v>33366.85</v>
      </c>
      <c r="H66" s="27">
        <v>-22979.22</v>
      </c>
    </row>
    <row r="67" spans="1:8" x14ac:dyDescent="0.25">
      <c r="A67" s="29" t="s">
        <v>233</v>
      </c>
      <c r="B67" s="29" t="s">
        <v>232</v>
      </c>
      <c r="C67" s="28">
        <v>1150.5899999999999</v>
      </c>
      <c r="D67" s="28">
        <v>388.19</v>
      </c>
      <c r="E67" s="28">
        <v>762.4</v>
      </c>
      <c r="F67" s="28">
        <v>8970.34</v>
      </c>
      <c r="G67" s="28">
        <v>4011.48</v>
      </c>
      <c r="H67" s="28">
        <v>4958.8599999999997</v>
      </c>
    </row>
    <row r="68" spans="1:8" x14ac:dyDescent="0.25">
      <c r="A68" s="29" t="s">
        <v>231</v>
      </c>
      <c r="B68" s="29" t="s">
        <v>230</v>
      </c>
      <c r="C68" s="28">
        <v>4900</v>
      </c>
      <c r="D68" s="28">
        <v>7345</v>
      </c>
      <c r="E68" s="27">
        <v>-2445</v>
      </c>
      <c r="F68" s="28">
        <v>16949.39</v>
      </c>
      <c r="G68" s="28">
        <v>11617.63</v>
      </c>
      <c r="H68" s="28">
        <v>5331.76</v>
      </c>
    </row>
    <row r="69" spans="1:8" x14ac:dyDescent="0.25">
      <c r="A69" s="29" t="s">
        <v>229</v>
      </c>
      <c r="B69" s="29" t="s">
        <v>228</v>
      </c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</row>
    <row r="70" spans="1:8" x14ac:dyDescent="0.25">
      <c r="A70" s="29" t="s">
        <v>227</v>
      </c>
      <c r="B70" s="29" t="s">
        <v>226</v>
      </c>
      <c r="C70" s="28">
        <v>0</v>
      </c>
      <c r="D70" s="28">
        <v>0</v>
      </c>
      <c r="E70" s="28">
        <v>0</v>
      </c>
      <c r="F70" s="28">
        <v>5178.91</v>
      </c>
      <c r="G70" s="28">
        <v>0</v>
      </c>
      <c r="H70" s="28">
        <v>5178.91</v>
      </c>
    </row>
    <row r="71" spans="1:8" x14ac:dyDescent="0.25">
      <c r="A71" s="29" t="s">
        <v>225</v>
      </c>
      <c r="B71" s="29" t="s">
        <v>224</v>
      </c>
      <c r="C71" s="28">
        <v>137</v>
      </c>
      <c r="D71" s="28">
        <v>0</v>
      </c>
      <c r="E71" s="28">
        <v>137</v>
      </c>
      <c r="F71" s="28">
        <v>9041</v>
      </c>
      <c r="G71" s="28">
        <v>8740.75</v>
      </c>
      <c r="H71" s="28">
        <v>300.25</v>
      </c>
    </row>
    <row r="72" spans="1:8" x14ac:dyDescent="0.25">
      <c r="A72" s="29" t="s">
        <v>223</v>
      </c>
      <c r="B72" s="29" t="s">
        <v>222</v>
      </c>
      <c r="C72" s="28">
        <v>0</v>
      </c>
      <c r="D72" s="28">
        <v>0</v>
      </c>
      <c r="E72" s="28">
        <v>0</v>
      </c>
      <c r="F72" s="28">
        <v>500</v>
      </c>
      <c r="G72" s="28">
        <v>0</v>
      </c>
      <c r="H72" s="28">
        <v>500</v>
      </c>
    </row>
    <row r="73" spans="1:8" x14ac:dyDescent="0.25">
      <c r="A73" s="29" t="s">
        <v>221</v>
      </c>
      <c r="B73" s="29" t="s">
        <v>220</v>
      </c>
      <c r="C73" s="28">
        <v>3275.15</v>
      </c>
      <c r="D73" s="28">
        <v>3321.11</v>
      </c>
      <c r="E73" s="27">
        <v>-45.96</v>
      </c>
      <c r="F73" s="28">
        <v>54378.04</v>
      </c>
      <c r="G73" s="28">
        <v>41246.949999999997</v>
      </c>
      <c r="H73" s="28">
        <v>13131.09</v>
      </c>
    </row>
    <row r="74" spans="1:8" x14ac:dyDescent="0.25">
      <c r="A74" s="29" t="s">
        <v>219</v>
      </c>
      <c r="B74" s="29" t="s">
        <v>218</v>
      </c>
      <c r="C74" s="28">
        <v>0</v>
      </c>
      <c r="D74" s="28">
        <v>170</v>
      </c>
      <c r="E74" s="27">
        <v>-170</v>
      </c>
      <c r="F74" s="28">
        <v>0</v>
      </c>
      <c r="G74" s="28">
        <v>170</v>
      </c>
      <c r="H74" s="27">
        <v>-170</v>
      </c>
    </row>
    <row r="75" spans="1:8" x14ac:dyDescent="0.25">
      <c r="A75" s="29" t="s">
        <v>217</v>
      </c>
      <c r="B75" s="29" t="s">
        <v>104</v>
      </c>
      <c r="C75" s="28">
        <v>7744.62</v>
      </c>
      <c r="D75" s="28">
        <v>7351.99</v>
      </c>
      <c r="E75" s="28">
        <v>392.63</v>
      </c>
      <c r="F75" s="28">
        <v>48714.6</v>
      </c>
      <c r="G75" s="28">
        <v>45992.77</v>
      </c>
      <c r="H75" s="28">
        <v>2721.83</v>
      </c>
    </row>
    <row r="76" spans="1:8" x14ac:dyDescent="0.25">
      <c r="A76" s="29" t="s">
        <v>216</v>
      </c>
      <c r="B76" s="29" t="s">
        <v>104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</row>
    <row r="77" spans="1:8" x14ac:dyDescent="0.25">
      <c r="A77" s="29" t="s">
        <v>215</v>
      </c>
      <c r="B77" s="29" t="s">
        <v>102</v>
      </c>
      <c r="C77" s="28">
        <v>9270.36</v>
      </c>
      <c r="D77" s="28">
        <v>6167.1</v>
      </c>
      <c r="E77" s="28">
        <v>3103.26</v>
      </c>
      <c r="F77" s="28">
        <v>74041.240000000005</v>
      </c>
      <c r="G77" s="28">
        <v>79013.27</v>
      </c>
      <c r="H77" s="27">
        <v>-4972.03</v>
      </c>
    </row>
    <row r="78" spans="1:8" x14ac:dyDescent="0.25">
      <c r="A78" s="29" t="s">
        <v>214</v>
      </c>
      <c r="B78" s="29" t="s">
        <v>100</v>
      </c>
      <c r="C78" s="28">
        <v>0.03</v>
      </c>
      <c r="D78" s="28">
        <v>2775.11</v>
      </c>
      <c r="E78" s="27">
        <v>-2775.08</v>
      </c>
      <c r="F78" s="28">
        <v>30526.17</v>
      </c>
      <c r="G78" s="28">
        <v>32380.85</v>
      </c>
      <c r="H78" s="27">
        <v>-1854.68</v>
      </c>
    </row>
    <row r="79" spans="1:8" x14ac:dyDescent="0.25">
      <c r="A79" s="29" t="s">
        <v>213</v>
      </c>
      <c r="B79" s="29" t="s">
        <v>92</v>
      </c>
      <c r="C79" s="28">
        <v>93020.6</v>
      </c>
      <c r="D79" s="28">
        <v>42385.13</v>
      </c>
      <c r="E79" s="28">
        <v>50635.47</v>
      </c>
      <c r="F79" s="28">
        <v>114510.3</v>
      </c>
      <c r="G79" s="28">
        <v>154697.4</v>
      </c>
      <c r="H79" s="27">
        <v>-40187.1</v>
      </c>
    </row>
    <row r="80" spans="1:8" x14ac:dyDescent="0.25">
      <c r="A80" s="29"/>
      <c r="B80" s="29" t="s">
        <v>212</v>
      </c>
      <c r="C80" s="28">
        <v>218540.96</v>
      </c>
      <c r="D80" s="28">
        <v>474640.83</v>
      </c>
      <c r="E80" s="27">
        <v>-256099.87</v>
      </c>
      <c r="F80" s="28">
        <v>4300426.6399999997</v>
      </c>
      <c r="G80" s="28">
        <v>4306089.72</v>
      </c>
      <c r="H80" s="27">
        <v>-5663.08</v>
      </c>
    </row>
    <row r="81" spans="1:8" x14ac:dyDescent="0.25">
      <c r="B81" s="29" t="s">
        <v>51</v>
      </c>
    </row>
    <row r="82" spans="1:8" x14ac:dyDescent="0.25">
      <c r="A82" s="29"/>
      <c r="B82" s="29" t="s">
        <v>211</v>
      </c>
      <c r="C82" s="28">
        <v>1085348.58</v>
      </c>
      <c r="D82" s="28">
        <v>776194.86</v>
      </c>
      <c r="E82" s="28">
        <v>309153.71999999997</v>
      </c>
      <c r="F82" s="28">
        <v>2626903.15</v>
      </c>
      <c r="G82" s="28">
        <v>3593438.73</v>
      </c>
      <c r="H82" s="27">
        <v>-966535.58</v>
      </c>
    </row>
    <row r="83" spans="1:8" x14ac:dyDescent="0.25">
      <c r="B83" s="29" t="s">
        <v>51</v>
      </c>
    </row>
    <row r="84" spans="1:8" x14ac:dyDescent="0.25">
      <c r="B84" s="29" t="s">
        <v>210</v>
      </c>
    </row>
    <row r="85" spans="1:8" x14ac:dyDescent="0.25">
      <c r="A85" s="29" t="s">
        <v>209</v>
      </c>
      <c r="B85" s="29" t="s">
        <v>207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</row>
    <row r="86" spans="1:8" x14ac:dyDescent="0.25">
      <c r="A86" s="29" t="s">
        <v>208</v>
      </c>
      <c r="B86" s="29" t="s">
        <v>207</v>
      </c>
      <c r="C86" s="28">
        <v>52290.43</v>
      </c>
      <c r="D86" s="28">
        <v>42369.2</v>
      </c>
      <c r="E86" s="28">
        <v>9921.23</v>
      </c>
      <c r="F86" s="28">
        <v>585032.77</v>
      </c>
      <c r="G86" s="28">
        <v>505055.52</v>
      </c>
      <c r="H86" s="28">
        <v>79977.25</v>
      </c>
    </row>
    <row r="87" spans="1:8" x14ac:dyDescent="0.25">
      <c r="A87" s="29" t="s">
        <v>206</v>
      </c>
      <c r="B87" s="29" t="s">
        <v>90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x14ac:dyDescent="0.25">
      <c r="A88" s="29" t="s">
        <v>205</v>
      </c>
      <c r="B88" s="29" t="s">
        <v>90</v>
      </c>
      <c r="C88" s="28">
        <v>3274.49</v>
      </c>
      <c r="D88" s="28">
        <v>2659.04</v>
      </c>
      <c r="E88" s="28">
        <v>615.45000000000005</v>
      </c>
      <c r="F88" s="28">
        <v>34406.51</v>
      </c>
      <c r="G88" s="28">
        <v>30002.58</v>
      </c>
      <c r="H88" s="28">
        <v>4403.93</v>
      </c>
    </row>
    <row r="89" spans="1:8" x14ac:dyDescent="0.25">
      <c r="A89" s="29" t="s">
        <v>204</v>
      </c>
      <c r="B89" s="29" t="s">
        <v>154</v>
      </c>
      <c r="C89" s="28">
        <v>0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</row>
    <row r="90" spans="1:8" x14ac:dyDescent="0.25">
      <c r="A90" s="29" t="s">
        <v>203</v>
      </c>
      <c r="B90" s="29" t="s">
        <v>154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</row>
    <row r="91" spans="1:8" x14ac:dyDescent="0.25">
      <c r="A91" s="29" t="s">
        <v>202</v>
      </c>
      <c r="B91" s="29" t="s">
        <v>154</v>
      </c>
      <c r="C91" s="28">
        <v>2119.06</v>
      </c>
      <c r="D91" s="28">
        <v>1475.38</v>
      </c>
      <c r="E91" s="28">
        <v>643.67999999999995</v>
      </c>
      <c r="F91" s="28">
        <v>32633.11</v>
      </c>
      <c r="G91" s="28">
        <v>27354.73</v>
      </c>
      <c r="H91" s="28">
        <v>5278.38</v>
      </c>
    </row>
    <row r="92" spans="1:8" x14ac:dyDescent="0.25">
      <c r="A92" s="29" t="s">
        <v>201</v>
      </c>
      <c r="B92" s="29" t="s">
        <v>88</v>
      </c>
      <c r="C92" s="28">
        <v>6767.14</v>
      </c>
      <c r="D92" s="28">
        <v>8225.6</v>
      </c>
      <c r="E92" s="27">
        <v>-1458.46</v>
      </c>
      <c r="F92" s="30">
        <v>101762.31</v>
      </c>
      <c r="G92" s="30">
        <v>59438.03</v>
      </c>
      <c r="H92" s="28">
        <v>42324.28</v>
      </c>
    </row>
    <row r="93" spans="1:8" x14ac:dyDescent="0.25">
      <c r="A93" s="29" t="s">
        <v>200</v>
      </c>
      <c r="B93" s="29" t="s">
        <v>88</v>
      </c>
      <c r="C93" s="28">
        <v>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</row>
    <row r="94" spans="1:8" x14ac:dyDescent="0.25">
      <c r="A94" s="29" t="s">
        <v>199</v>
      </c>
      <c r="B94" s="29" t="s">
        <v>144</v>
      </c>
      <c r="C94" s="28">
        <v>2272.9899999999998</v>
      </c>
      <c r="D94" s="28">
        <v>0</v>
      </c>
      <c r="E94" s="28">
        <v>2272.9899999999998</v>
      </c>
      <c r="F94" s="28">
        <v>14658.64</v>
      </c>
      <c r="G94" s="28">
        <v>336</v>
      </c>
      <c r="H94" s="28">
        <v>14322.64</v>
      </c>
    </row>
    <row r="95" spans="1:8" x14ac:dyDescent="0.25">
      <c r="A95" s="29" t="s">
        <v>198</v>
      </c>
      <c r="B95" s="29" t="s">
        <v>144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</row>
    <row r="96" spans="1:8" x14ac:dyDescent="0.25">
      <c r="A96" s="29" t="s">
        <v>197</v>
      </c>
      <c r="B96" s="29" t="s">
        <v>195</v>
      </c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</row>
    <row r="97" spans="1:8" x14ac:dyDescent="0.25">
      <c r="A97" s="29" t="s">
        <v>196</v>
      </c>
      <c r="B97" s="29" t="s">
        <v>195</v>
      </c>
      <c r="C97" s="28">
        <v>7035.76</v>
      </c>
      <c r="D97" s="28">
        <v>13428.69</v>
      </c>
      <c r="E97" s="27">
        <v>-6392.93</v>
      </c>
      <c r="F97" s="28">
        <v>81884.89</v>
      </c>
      <c r="G97" s="28">
        <v>82772.89</v>
      </c>
      <c r="H97" s="27">
        <v>-888</v>
      </c>
    </row>
    <row r="98" spans="1:8" x14ac:dyDescent="0.25">
      <c r="A98" s="29" t="s">
        <v>194</v>
      </c>
      <c r="B98" s="29" t="s">
        <v>193</v>
      </c>
      <c r="C98" s="28">
        <v>0</v>
      </c>
      <c r="D98" s="28">
        <v>549.36</v>
      </c>
      <c r="E98" s="27">
        <v>-549.36</v>
      </c>
      <c r="F98" s="28">
        <v>751.79</v>
      </c>
      <c r="G98" s="28">
        <v>1182.31</v>
      </c>
      <c r="H98" s="27">
        <v>-430.52</v>
      </c>
    </row>
    <row r="99" spans="1:8" x14ac:dyDescent="0.25">
      <c r="A99" s="29" t="s">
        <v>192</v>
      </c>
      <c r="B99" s="29" t="s">
        <v>191</v>
      </c>
      <c r="C99" s="28">
        <v>517.87</v>
      </c>
      <c r="D99" s="28">
        <v>141.25</v>
      </c>
      <c r="E99" s="28">
        <v>376.62</v>
      </c>
      <c r="F99" s="28">
        <v>2487.21</v>
      </c>
      <c r="G99" s="28">
        <v>1367.5</v>
      </c>
      <c r="H99" s="28">
        <v>1119.71</v>
      </c>
    </row>
    <row r="100" spans="1:8" x14ac:dyDescent="0.25">
      <c r="A100" s="29" t="s">
        <v>190</v>
      </c>
      <c r="B100" s="29" t="s">
        <v>189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</row>
    <row r="101" spans="1:8" x14ac:dyDescent="0.25">
      <c r="A101" s="29" t="s">
        <v>188</v>
      </c>
      <c r="B101" s="29" t="s">
        <v>187</v>
      </c>
      <c r="C101" s="28">
        <v>11314.62</v>
      </c>
      <c r="D101" s="27">
        <v>-14902.33</v>
      </c>
      <c r="E101" s="28">
        <v>26216.95</v>
      </c>
      <c r="F101" s="30">
        <v>92800.87</v>
      </c>
      <c r="G101" s="30">
        <v>126199.59</v>
      </c>
      <c r="H101" s="27">
        <v>-33398.720000000001</v>
      </c>
    </row>
    <row r="102" spans="1:8" x14ac:dyDescent="0.25">
      <c r="A102" s="29" t="s">
        <v>186</v>
      </c>
      <c r="B102" s="29" t="s">
        <v>185</v>
      </c>
      <c r="C102" s="28">
        <v>0</v>
      </c>
      <c r="D102" s="28">
        <v>0</v>
      </c>
      <c r="E102" s="28">
        <v>0</v>
      </c>
      <c r="F102" s="28">
        <v>5147.2700000000004</v>
      </c>
      <c r="G102" s="28">
        <v>4902.16</v>
      </c>
      <c r="H102" s="28">
        <v>245.11</v>
      </c>
    </row>
    <row r="103" spans="1:8" x14ac:dyDescent="0.25">
      <c r="A103" s="29" t="s">
        <v>184</v>
      </c>
      <c r="B103" s="29" t="s">
        <v>183</v>
      </c>
      <c r="C103" s="28">
        <v>596.57000000000005</v>
      </c>
      <c r="D103" s="28">
        <v>0</v>
      </c>
      <c r="E103" s="28">
        <v>596.57000000000005</v>
      </c>
      <c r="F103" s="28">
        <v>656.72</v>
      </c>
      <c r="G103" s="28">
        <v>0</v>
      </c>
      <c r="H103" s="28">
        <v>656.72</v>
      </c>
    </row>
    <row r="104" spans="1:8" x14ac:dyDescent="0.25">
      <c r="A104" s="29" t="s">
        <v>182</v>
      </c>
      <c r="B104" s="29" t="s">
        <v>181</v>
      </c>
      <c r="C104" s="28">
        <v>0</v>
      </c>
      <c r="D104" s="28">
        <v>0</v>
      </c>
      <c r="E104" s="28">
        <v>0</v>
      </c>
      <c r="F104" s="28">
        <v>1262.23</v>
      </c>
      <c r="G104" s="28">
        <v>0</v>
      </c>
      <c r="H104" s="28">
        <v>1262.23</v>
      </c>
    </row>
    <row r="105" spans="1:8" x14ac:dyDescent="0.25">
      <c r="A105" s="29" t="s">
        <v>180</v>
      </c>
      <c r="B105" s="29" t="s">
        <v>179</v>
      </c>
      <c r="C105" s="28">
        <v>369.33</v>
      </c>
      <c r="D105" s="28">
        <v>0</v>
      </c>
      <c r="E105" s="28">
        <v>369.33</v>
      </c>
      <c r="F105" s="28">
        <v>3135.3</v>
      </c>
      <c r="G105" s="28">
        <v>2890.89</v>
      </c>
      <c r="H105" s="28">
        <v>244.41</v>
      </c>
    </row>
    <row r="106" spans="1:8" x14ac:dyDescent="0.25">
      <c r="A106" s="29" t="s">
        <v>178</v>
      </c>
      <c r="B106" s="29" t="s">
        <v>177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</row>
    <row r="107" spans="1:8" x14ac:dyDescent="0.25">
      <c r="A107" s="29" t="s">
        <v>176</v>
      </c>
      <c r="B107" s="29" t="s">
        <v>175</v>
      </c>
      <c r="C107" s="28">
        <v>0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</row>
    <row r="108" spans="1:8" x14ac:dyDescent="0.25">
      <c r="A108" s="29" t="s">
        <v>174</v>
      </c>
      <c r="B108" s="29" t="s">
        <v>173</v>
      </c>
      <c r="C108" s="28">
        <v>0</v>
      </c>
      <c r="D108" s="28">
        <v>0</v>
      </c>
      <c r="E108" s="28">
        <v>0</v>
      </c>
      <c r="F108" s="28">
        <v>3142</v>
      </c>
      <c r="G108" s="28">
        <v>0</v>
      </c>
      <c r="H108" s="28">
        <v>3142</v>
      </c>
    </row>
    <row r="109" spans="1:8" x14ac:dyDescent="0.25">
      <c r="A109" s="29" t="s">
        <v>172</v>
      </c>
      <c r="B109" s="29" t="s">
        <v>171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</row>
    <row r="110" spans="1:8" x14ac:dyDescent="0.25">
      <c r="A110" s="29"/>
      <c r="B110" s="29" t="s">
        <v>170</v>
      </c>
      <c r="C110" s="28">
        <v>86558.26</v>
      </c>
      <c r="D110" s="28">
        <v>53946.19</v>
      </c>
      <c r="E110" s="28">
        <v>32612.07</v>
      </c>
      <c r="F110" s="28">
        <v>959761.62</v>
      </c>
      <c r="G110" s="28">
        <v>841502.2</v>
      </c>
      <c r="H110" s="28">
        <v>118259.42</v>
      </c>
    </row>
    <row r="111" spans="1:8" x14ac:dyDescent="0.25">
      <c r="B111" s="29" t="s">
        <v>51</v>
      </c>
    </row>
    <row r="112" spans="1:8" x14ac:dyDescent="0.25">
      <c r="B112" s="29" t="s">
        <v>169</v>
      </c>
    </row>
    <row r="113" spans="1:8" x14ac:dyDescent="0.25">
      <c r="A113" s="29" t="s">
        <v>168</v>
      </c>
      <c r="B113" s="29" t="s">
        <v>166</v>
      </c>
      <c r="C113" s="28">
        <v>0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</row>
    <row r="114" spans="1:8" x14ac:dyDescent="0.25">
      <c r="A114" s="29" t="s">
        <v>167</v>
      </c>
      <c r="B114" s="29" t="s">
        <v>166</v>
      </c>
      <c r="C114" s="28">
        <v>8884.6299999999992</v>
      </c>
      <c r="D114" s="28">
        <v>9615.4</v>
      </c>
      <c r="E114" s="27">
        <v>-730.77</v>
      </c>
      <c r="F114" s="28">
        <v>108788.65</v>
      </c>
      <c r="G114" s="28">
        <v>310653.95</v>
      </c>
      <c r="H114" s="27">
        <v>-201865.3</v>
      </c>
    </row>
    <row r="115" spans="1:8" x14ac:dyDescent="0.25">
      <c r="A115" s="29" t="s">
        <v>165</v>
      </c>
      <c r="B115" s="29" t="s">
        <v>163</v>
      </c>
      <c r="C115" s="28">
        <v>0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</row>
    <row r="116" spans="1:8" x14ac:dyDescent="0.25">
      <c r="A116" s="29" t="s">
        <v>164</v>
      </c>
      <c r="B116" s="29" t="s">
        <v>163</v>
      </c>
      <c r="C116" s="28">
        <v>32835.83</v>
      </c>
      <c r="D116" s="28">
        <v>30782.53</v>
      </c>
      <c r="E116" s="28">
        <v>2053.3000000000002</v>
      </c>
      <c r="F116" s="28">
        <v>422371.01</v>
      </c>
      <c r="G116" s="28">
        <v>376966.94</v>
      </c>
      <c r="H116" s="28">
        <v>45404.07</v>
      </c>
    </row>
    <row r="117" spans="1:8" x14ac:dyDescent="0.25">
      <c r="A117" s="29" t="s">
        <v>162</v>
      </c>
      <c r="B117" s="29" t="s">
        <v>160</v>
      </c>
      <c r="C117" s="28">
        <v>0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</row>
    <row r="118" spans="1:8" x14ac:dyDescent="0.25">
      <c r="A118" s="29" t="s">
        <v>161</v>
      </c>
      <c r="B118" s="29" t="s">
        <v>160</v>
      </c>
      <c r="C118" s="28">
        <v>20307.71</v>
      </c>
      <c r="D118" s="28">
        <v>19384.64</v>
      </c>
      <c r="E118" s="28">
        <v>923.07</v>
      </c>
      <c r="F118" s="28">
        <v>241846.42</v>
      </c>
      <c r="G118" s="28">
        <v>216538.76</v>
      </c>
      <c r="H118" s="28">
        <v>25307.66</v>
      </c>
    </row>
    <row r="119" spans="1:8" x14ac:dyDescent="0.25">
      <c r="A119" s="29" t="s">
        <v>159</v>
      </c>
      <c r="B119" s="29" t="s">
        <v>90</v>
      </c>
      <c r="C119" s="28">
        <v>0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</row>
    <row r="120" spans="1:8" x14ac:dyDescent="0.25">
      <c r="A120" s="29" t="s">
        <v>158</v>
      </c>
      <c r="B120" s="29" t="s">
        <v>90</v>
      </c>
      <c r="C120" s="28">
        <v>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</row>
    <row r="121" spans="1:8" x14ac:dyDescent="0.25">
      <c r="A121" s="29" t="s">
        <v>157</v>
      </c>
      <c r="B121" s="29" t="s">
        <v>90</v>
      </c>
      <c r="C121" s="28">
        <v>0</v>
      </c>
      <c r="D121" s="28">
        <v>0</v>
      </c>
      <c r="E121" s="28">
        <v>0</v>
      </c>
      <c r="F121" s="28">
        <v>0</v>
      </c>
      <c r="G121" s="28">
        <v>22720.54</v>
      </c>
      <c r="H121" s="27">
        <v>-22720.54</v>
      </c>
    </row>
    <row r="122" spans="1:8" x14ac:dyDescent="0.25">
      <c r="A122" s="29" t="s">
        <v>156</v>
      </c>
      <c r="B122" s="29" t="s">
        <v>154</v>
      </c>
      <c r="C122" s="28">
        <v>0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</row>
    <row r="123" spans="1:8" x14ac:dyDescent="0.25">
      <c r="A123" s="29" t="s">
        <v>155</v>
      </c>
      <c r="B123" s="29" t="s">
        <v>154</v>
      </c>
      <c r="C123" s="28">
        <v>4859.59</v>
      </c>
      <c r="D123" s="28">
        <v>4758.16</v>
      </c>
      <c r="E123" s="28">
        <v>101.43</v>
      </c>
      <c r="F123" s="28">
        <v>66457.179999999993</v>
      </c>
      <c r="G123" s="28">
        <v>68673.72</v>
      </c>
      <c r="H123" s="27">
        <v>-2216.54</v>
      </c>
    </row>
    <row r="124" spans="1:8" x14ac:dyDescent="0.25">
      <c r="A124" s="29" t="s">
        <v>153</v>
      </c>
      <c r="B124" s="29" t="s">
        <v>152</v>
      </c>
      <c r="C124" s="28">
        <v>1264.0999999999999</v>
      </c>
      <c r="D124" s="28">
        <v>2058.5500000000002</v>
      </c>
      <c r="E124" s="27">
        <v>-794.45</v>
      </c>
      <c r="F124" s="28">
        <v>19198.18</v>
      </c>
      <c r="G124" s="28">
        <v>18730.22</v>
      </c>
      <c r="H124" s="28">
        <v>467.96</v>
      </c>
    </row>
    <row r="125" spans="1:8" x14ac:dyDescent="0.25">
      <c r="A125" s="29" t="s">
        <v>151</v>
      </c>
      <c r="B125" s="29" t="s">
        <v>150</v>
      </c>
      <c r="C125" s="28">
        <v>0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</row>
    <row r="126" spans="1:8" x14ac:dyDescent="0.25">
      <c r="A126" s="29" t="s">
        <v>149</v>
      </c>
      <c r="B126" s="29" t="s">
        <v>88</v>
      </c>
      <c r="C126" s="28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</row>
    <row r="127" spans="1:8" x14ac:dyDescent="0.25">
      <c r="A127" s="29" t="s">
        <v>148</v>
      </c>
      <c r="B127" s="29" t="s">
        <v>88</v>
      </c>
      <c r="C127" s="28">
        <v>1304.54</v>
      </c>
      <c r="D127" s="28">
        <v>2470.59</v>
      </c>
      <c r="E127" s="27">
        <v>-1166.05</v>
      </c>
      <c r="F127" s="28">
        <v>13212.02</v>
      </c>
      <c r="G127" s="28">
        <v>17066.98</v>
      </c>
      <c r="H127" s="27">
        <v>-3854.96</v>
      </c>
    </row>
    <row r="128" spans="1:8" x14ac:dyDescent="0.25">
      <c r="A128" s="29" t="s">
        <v>147</v>
      </c>
      <c r="B128" s="29" t="s">
        <v>88</v>
      </c>
      <c r="C128" s="28">
        <v>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</row>
    <row r="129" spans="1:8" x14ac:dyDescent="0.25">
      <c r="A129" s="29" t="s">
        <v>146</v>
      </c>
      <c r="B129" s="29" t="s">
        <v>144</v>
      </c>
      <c r="C129" s="28">
        <v>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</row>
    <row r="130" spans="1:8" x14ac:dyDescent="0.25">
      <c r="A130" s="29" t="s">
        <v>145</v>
      </c>
      <c r="B130" s="29" t="s">
        <v>144</v>
      </c>
      <c r="C130" s="28">
        <v>46.18</v>
      </c>
      <c r="D130" s="28">
        <v>6196.37</v>
      </c>
      <c r="E130" s="27">
        <v>-6150.19</v>
      </c>
      <c r="F130" s="28">
        <v>5074.17</v>
      </c>
      <c r="G130" s="28">
        <v>20648.54</v>
      </c>
      <c r="H130" s="27">
        <v>-15574.37</v>
      </c>
    </row>
    <row r="131" spans="1:8" x14ac:dyDescent="0.25">
      <c r="A131" s="29" t="s">
        <v>143</v>
      </c>
      <c r="B131" s="29" t="s">
        <v>142</v>
      </c>
      <c r="C131" s="27">
        <v>-13143</v>
      </c>
      <c r="D131" s="28">
        <v>24935</v>
      </c>
      <c r="E131" s="27">
        <v>-38078</v>
      </c>
      <c r="F131" s="27">
        <v>-7538</v>
      </c>
      <c r="G131" s="28">
        <v>64935</v>
      </c>
      <c r="H131" s="27">
        <v>-72473</v>
      </c>
    </row>
    <row r="132" spans="1:8" x14ac:dyDescent="0.25">
      <c r="A132" s="29" t="s">
        <v>141</v>
      </c>
      <c r="B132" s="29" t="s">
        <v>140</v>
      </c>
      <c r="C132" s="28">
        <v>12900.22</v>
      </c>
      <c r="D132" s="28">
        <v>0</v>
      </c>
      <c r="E132" s="28">
        <v>12900.22</v>
      </c>
      <c r="F132" s="30">
        <v>51750.82</v>
      </c>
      <c r="G132" s="28">
        <v>10000</v>
      </c>
      <c r="H132" s="28">
        <v>41750.82</v>
      </c>
    </row>
    <row r="133" spans="1:8" x14ac:dyDescent="0.25">
      <c r="A133" s="29" t="s">
        <v>139</v>
      </c>
      <c r="B133" s="29" t="s">
        <v>138</v>
      </c>
      <c r="C133" s="28">
        <v>11431</v>
      </c>
      <c r="D133" s="28">
        <v>17643.54</v>
      </c>
      <c r="E133" s="27">
        <v>-6212.54</v>
      </c>
      <c r="F133" s="30">
        <v>142037.51999999999</v>
      </c>
      <c r="G133" s="28">
        <v>174638.99</v>
      </c>
      <c r="H133" s="27">
        <v>-32601.47</v>
      </c>
    </row>
    <row r="134" spans="1:8" x14ac:dyDescent="0.25">
      <c r="A134" s="29" t="s">
        <v>137</v>
      </c>
      <c r="B134" s="29" t="s">
        <v>136</v>
      </c>
      <c r="C134" s="28">
        <v>0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</row>
    <row r="135" spans="1:8" x14ac:dyDescent="0.25">
      <c r="A135" s="29" t="s">
        <v>135</v>
      </c>
      <c r="B135" s="29" t="s">
        <v>134</v>
      </c>
      <c r="C135" s="28">
        <v>40708.769999999997</v>
      </c>
      <c r="D135" s="28">
        <v>40000</v>
      </c>
      <c r="E135" s="28">
        <v>708.77</v>
      </c>
      <c r="F135" s="28">
        <v>46757.91</v>
      </c>
      <c r="G135" s="28">
        <v>40396.129999999997</v>
      </c>
      <c r="H135" s="28">
        <v>6361.78</v>
      </c>
    </row>
    <row r="136" spans="1:8" x14ac:dyDescent="0.25">
      <c r="A136" s="29" t="s">
        <v>133</v>
      </c>
      <c r="B136" s="29" t="s">
        <v>132</v>
      </c>
      <c r="C136" s="28">
        <v>730.38</v>
      </c>
      <c r="D136" s="28">
        <v>730.38</v>
      </c>
      <c r="E136" s="28">
        <v>0</v>
      </c>
      <c r="F136" s="28">
        <v>4382.28</v>
      </c>
      <c r="G136" s="28">
        <v>4382.28</v>
      </c>
      <c r="H136" s="28">
        <v>0</v>
      </c>
    </row>
    <row r="137" spans="1:8" x14ac:dyDescent="0.25">
      <c r="A137" s="29" t="s">
        <v>131</v>
      </c>
      <c r="B137" s="29" t="s">
        <v>129</v>
      </c>
      <c r="C137" s="28">
        <v>0</v>
      </c>
      <c r="D137" s="28">
        <v>0</v>
      </c>
      <c r="E137" s="28">
        <v>0</v>
      </c>
      <c r="F137" s="28">
        <v>0</v>
      </c>
      <c r="G137" s="28">
        <v>0</v>
      </c>
      <c r="H137" s="28">
        <v>0</v>
      </c>
    </row>
    <row r="138" spans="1:8" x14ac:dyDescent="0.25">
      <c r="A138" s="29" t="s">
        <v>130</v>
      </c>
      <c r="B138" s="29" t="s">
        <v>129</v>
      </c>
      <c r="C138" s="28">
        <v>24070.28</v>
      </c>
      <c r="D138" s="28">
        <v>3335.67</v>
      </c>
      <c r="E138" s="28">
        <v>20734.61</v>
      </c>
      <c r="F138" s="28">
        <v>35434.449999999997</v>
      </c>
      <c r="G138" s="28">
        <v>47016.800000000003</v>
      </c>
      <c r="H138" s="27">
        <v>-11582.35</v>
      </c>
    </row>
    <row r="139" spans="1:8" x14ac:dyDescent="0.25">
      <c r="A139" s="29" t="s">
        <v>128</v>
      </c>
      <c r="B139" s="29" t="s">
        <v>127</v>
      </c>
      <c r="C139" s="28">
        <v>818.9</v>
      </c>
      <c r="D139" s="28">
        <v>290.99</v>
      </c>
      <c r="E139" s="28">
        <v>527.91</v>
      </c>
      <c r="F139" s="28">
        <v>7797.36</v>
      </c>
      <c r="G139" s="28">
        <v>6869.11</v>
      </c>
      <c r="H139" s="28">
        <v>928.25</v>
      </c>
    </row>
    <row r="140" spans="1:8" x14ac:dyDescent="0.25">
      <c r="A140" s="29" t="s">
        <v>126</v>
      </c>
      <c r="B140" s="29" t="s">
        <v>124</v>
      </c>
      <c r="C140" s="28">
        <v>0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</row>
    <row r="141" spans="1:8" x14ac:dyDescent="0.25">
      <c r="A141" s="29" t="s">
        <v>125</v>
      </c>
      <c r="B141" s="29" t="s">
        <v>124</v>
      </c>
      <c r="C141" s="28">
        <v>0</v>
      </c>
      <c r="D141" s="28">
        <v>149</v>
      </c>
      <c r="E141" s="27">
        <v>-149</v>
      </c>
      <c r="F141" s="28">
        <v>667.28</v>
      </c>
      <c r="G141" s="28">
        <v>5504.89</v>
      </c>
      <c r="H141" s="27">
        <v>-4837.6099999999997</v>
      </c>
    </row>
    <row r="142" spans="1:8" x14ac:dyDescent="0.25">
      <c r="A142" s="29" t="s">
        <v>123</v>
      </c>
      <c r="B142" s="29" t="s">
        <v>121</v>
      </c>
      <c r="C142" s="28">
        <v>0</v>
      </c>
      <c r="D142" s="28">
        <v>0</v>
      </c>
      <c r="E142" s="28">
        <v>0</v>
      </c>
      <c r="F142" s="28">
        <v>0</v>
      </c>
      <c r="G142" s="28">
        <v>0</v>
      </c>
      <c r="H142" s="28">
        <v>0</v>
      </c>
    </row>
    <row r="143" spans="1:8" x14ac:dyDescent="0.25">
      <c r="A143" s="29" t="s">
        <v>122</v>
      </c>
      <c r="B143" s="29" t="s">
        <v>121</v>
      </c>
      <c r="C143" s="28">
        <v>6418.07</v>
      </c>
      <c r="D143" s="28">
        <v>12600.86</v>
      </c>
      <c r="E143" s="27">
        <v>-6182.79</v>
      </c>
      <c r="F143" s="28">
        <v>32235.39</v>
      </c>
      <c r="G143" s="28">
        <v>35205.800000000003</v>
      </c>
      <c r="H143" s="27">
        <v>-2970.41</v>
      </c>
    </row>
    <row r="144" spans="1:8" x14ac:dyDescent="0.25">
      <c r="A144" s="29" t="s">
        <v>120</v>
      </c>
      <c r="B144" s="29" t="s">
        <v>119</v>
      </c>
      <c r="C144" s="28">
        <v>1507.44</v>
      </c>
      <c r="D144" s="28">
        <v>871.14</v>
      </c>
      <c r="E144" s="28">
        <v>636.29999999999995</v>
      </c>
      <c r="F144" s="28">
        <v>14562.76</v>
      </c>
      <c r="G144" s="28">
        <v>15264.53</v>
      </c>
      <c r="H144" s="27">
        <v>-701.77</v>
      </c>
    </row>
    <row r="145" spans="1:8" x14ac:dyDescent="0.25">
      <c r="A145" s="29" t="s">
        <v>118</v>
      </c>
      <c r="B145" s="29" t="s">
        <v>116</v>
      </c>
      <c r="C145" s="28">
        <v>0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</row>
    <row r="146" spans="1:8" x14ac:dyDescent="0.25">
      <c r="A146" s="29" t="s">
        <v>117</v>
      </c>
      <c r="B146" s="29" t="s">
        <v>116</v>
      </c>
      <c r="C146" s="28">
        <v>607.77</v>
      </c>
      <c r="D146" s="28">
        <v>465.81</v>
      </c>
      <c r="E146" s="28">
        <v>141.96</v>
      </c>
      <c r="F146" s="28">
        <v>9403.18</v>
      </c>
      <c r="G146" s="28">
        <v>5669.5</v>
      </c>
      <c r="H146" s="28">
        <v>3733.68</v>
      </c>
    </row>
    <row r="147" spans="1:8" x14ac:dyDescent="0.25">
      <c r="A147" s="29" t="s">
        <v>115</v>
      </c>
      <c r="B147" s="29" t="s">
        <v>113</v>
      </c>
      <c r="C147" s="28">
        <v>0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</row>
    <row r="148" spans="1:8" x14ac:dyDescent="0.25">
      <c r="A148" s="29" t="s">
        <v>114</v>
      </c>
      <c r="B148" s="29" t="s">
        <v>113</v>
      </c>
      <c r="C148" s="28">
        <v>1675</v>
      </c>
      <c r="D148" s="28">
        <v>1625</v>
      </c>
      <c r="E148" s="28">
        <v>50</v>
      </c>
      <c r="F148" s="28">
        <v>2225</v>
      </c>
      <c r="G148" s="28">
        <v>2635</v>
      </c>
      <c r="H148" s="27">
        <v>-410</v>
      </c>
    </row>
    <row r="149" spans="1:8" x14ac:dyDescent="0.25">
      <c r="A149" s="29" t="s">
        <v>112</v>
      </c>
      <c r="B149" s="29" t="s">
        <v>111</v>
      </c>
      <c r="C149" s="28">
        <v>1919.95</v>
      </c>
      <c r="D149" s="28">
        <v>4717.16</v>
      </c>
      <c r="E149" s="27">
        <v>-2797.21</v>
      </c>
      <c r="F149" s="28">
        <v>19963.63</v>
      </c>
      <c r="G149" s="28">
        <v>16713.34</v>
      </c>
      <c r="H149" s="28">
        <v>3250.29</v>
      </c>
    </row>
    <row r="150" spans="1:8" x14ac:dyDescent="0.25">
      <c r="A150" s="29" t="s">
        <v>110</v>
      </c>
      <c r="B150" s="29" t="s">
        <v>109</v>
      </c>
      <c r="C150" s="28">
        <v>2117.33</v>
      </c>
      <c r="D150" s="28">
        <v>2335.5300000000002</v>
      </c>
      <c r="E150" s="27">
        <v>-218.2</v>
      </c>
      <c r="F150" s="28">
        <v>16957.580000000002</v>
      </c>
      <c r="G150" s="28">
        <v>18260.75</v>
      </c>
      <c r="H150" s="27">
        <v>-1303.17</v>
      </c>
    </row>
    <row r="151" spans="1:8" x14ac:dyDescent="0.25">
      <c r="A151" s="29" t="s">
        <v>108</v>
      </c>
      <c r="B151" s="29" t="s">
        <v>106</v>
      </c>
      <c r="C151" s="28">
        <v>0</v>
      </c>
      <c r="D151" s="28">
        <v>0</v>
      </c>
      <c r="E151" s="28">
        <v>0</v>
      </c>
      <c r="F151" s="28">
        <v>0</v>
      </c>
      <c r="G151" s="28">
        <v>0</v>
      </c>
      <c r="H151" s="28">
        <v>0</v>
      </c>
    </row>
    <row r="152" spans="1:8" x14ac:dyDescent="0.25">
      <c r="A152" s="29" t="s">
        <v>107</v>
      </c>
      <c r="B152" s="29" t="s">
        <v>106</v>
      </c>
      <c r="C152" s="28">
        <v>0.01</v>
      </c>
      <c r="D152" s="28">
        <v>48.76</v>
      </c>
      <c r="E152" s="27">
        <v>-48.75</v>
      </c>
      <c r="F152" s="28">
        <v>346.49</v>
      </c>
      <c r="G152" s="28">
        <v>308.20999999999998</v>
      </c>
      <c r="H152" s="28">
        <v>38.28</v>
      </c>
    </row>
    <row r="153" spans="1:8" x14ac:dyDescent="0.25">
      <c r="A153" s="29" t="s">
        <v>105</v>
      </c>
      <c r="B153" s="29" t="s">
        <v>104</v>
      </c>
      <c r="C153" s="28">
        <v>1346.57</v>
      </c>
      <c r="D153" s="28">
        <v>1297.4100000000001</v>
      </c>
      <c r="E153" s="28">
        <v>49.16</v>
      </c>
      <c r="F153" s="28">
        <v>8576.6</v>
      </c>
      <c r="G153" s="28">
        <v>8116.42</v>
      </c>
      <c r="H153" s="28">
        <v>460.18</v>
      </c>
    </row>
    <row r="154" spans="1:8" x14ac:dyDescent="0.25">
      <c r="A154" s="29" t="s">
        <v>103</v>
      </c>
      <c r="B154" s="29" t="s">
        <v>102</v>
      </c>
      <c r="C154" s="27">
        <v>-2306.7800000000002</v>
      </c>
      <c r="D154" s="28">
        <v>3489.11</v>
      </c>
      <c r="E154" s="27">
        <v>-5795.89</v>
      </c>
      <c r="F154" s="28">
        <v>6883.51</v>
      </c>
      <c r="G154" s="28">
        <v>19929.91</v>
      </c>
      <c r="H154" s="27">
        <v>-13046.4</v>
      </c>
    </row>
    <row r="155" spans="1:8" x14ac:dyDescent="0.25">
      <c r="A155" s="29" t="s">
        <v>101</v>
      </c>
      <c r="B155" s="29" t="s">
        <v>100</v>
      </c>
      <c r="C155" s="28">
        <v>0</v>
      </c>
      <c r="D155" s="28">
        <v>489.72</v>
      </c>
      <c r="E155" s="27">
        <v>-489.72</v>
      </c>
      <c r="F155" s="28">
        <v>5386.99</v>
      </c>
      <c r="G155" s="28">
        <v>5714.28</v>
      </c>
      <c r="H155" s="27">
        <v>-327.29000000000002</v>
      </c>
    </row>
    <row r="156" spans="1:8" x14ac:dyDescent="0.25">
      <c r="A156" s="29" t="s">
        <v>99</v>
      </c>
      <c r="B156" s="29" t="s">
        <v>98</v>
      </c>
      <c r="C156" s="28">
        <v>50000</v>
      </c>
      <c r="D156" s="28">
        <v>175000</v>
      </c>
      <c r="E156" s="27">
        <v>-125000</v>
      </c>
      <c r="F156" s="28">
        <v>50000</v>
      </c>
      <c r="G156" s="28">
        <v>175000</v>
      </c>
      <c r="H156" s="27">
        <v>-125000</v>
      </c>
    </row>
    <row r="157" spans="1:8" x14ac:dyDescent="0.25">
      <c r="A157" s="29" t="s">
        <v>97</v>
      </c>
      <c r="B157" s="29" t="s">
        <v>96</v>
      </c>
      <c r="C157" s="28">
        <v>0</v>
      </c>
      <c r="D157" s="28">
        <v>0</v>
      </c>
      <c r="E157" s="28">
        <v>0</v>
      </c>
      <c r="F157" s="28">
        <v>5405</v>
      </c>
      <c r="G157" s="28">
        <v>5450</v>
      </c>
      <c r="H157" s="27">
        <v>-45</v>
      </c>
    </row>
    <row r="158" spans="1:8" x14ac:dyDescent="0.25">
      <c r="A158" s="29" t="s">
        <v>95</v>
      </c>
      <c r="B158" s="29" t="s">
        <v>94</v>
      </c>
      <c r="C158" s="28">
        <v>265.27</v>
      </c>
      <c r="D158" s="28">
        <v>0</v>
      </c>
      <c r="E158" s="28">
        <v>265.27</v>
      </c>
      <c r="F158" s="28">
        <v>530.54</v>
      </c>
      <c r="G158" s="27">
        <v>-8.35</v>
      </c>
      <c r="H158" s="28">
        <v>538.89</v>
      </c>
    </row>
    <row r="159" spans="1:8" x14ac:dyDescent="0.25">
      <c r="A159" s="29" t="s">
        <v>93</v>
      </c>
      <c r="B159" s="29" t="s">
        <v>92</v>
      </c>
      <c r="C159" s="28">
        <v>16415.400000000001</v>
      </c>
      <c r="D159" s="28">
        <v>1131.3</v>
      </c>
      <c r="E159" s="28">
        <v>15284.1</v>
      </c>
      <c r="F159" s="28">
        <v>20207.7</v>
      </c>
      <c r="G159" s="28">
        <v>13575.6</v>
      </c>
      <c r="H159" s="28">
        <v>6632.1</v>
      </c>
    </row>
    <row r="160" spans="1:8" x14ac:dyDescent="0.25">
      <c r="A160" s="29" t="s">
        <v>91</v>
      </c>
      <c r="B160" s="29" t="s">
        <v>90</v>
      </c>
      <c r="C160" s="28">
        <v>0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</row>
    <row r="161" spans="1:8" x14ac:dyDescent="0.25">
      <c r="A161" s="29" t="s">
        <v>89</v>
      </c>
      <c r="B161" s="29" t="s">
        <v>88</v>
      </c>
      <c r="C161" s="28">
        <v>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</row>
    <row r="162" spans="1:8" x14ac:dyDescent="0.25">
      <c r="A162" s="29"/>
      <c r="B162" s="29" t="s">
        <v>87</v>
      </c>
      <c r="C162" s="28">
        <v>226985.16</v>
      </c>
      <c r="D162" s="28">
        <v>366422.62</v>
      </c>
      <c r="E162" s="27">
        <v>-139437.46</v>
      </c>
      <c r="F162" s="28">
        <v>1350921.62</v>
      </c>
      <c r="G162" s="28">
        <v>1727577.84</v>
      </c>
      <c r="H162" s="27">
        <v>-376656.22</v>
      </c>
    </row>
    <row r="163" spans="1:8" x14ac:dyDescent="0.25">
      <c r="B163" s="29" t="s">
        <v>51</v>
      </c>
    </row>
    <row r="164" spans="1:8" x14ac:dyDescent="0.25">
      <c r="B164" s="29" t="s">
        <v>86</v>
      </c>
    </row>
    <row r="165" spans="1:8" x14ac:dyDescent="0.25">
      <c r="A165" s="29" t="s">
        <v>85</v>
      </c>
      <c r="B165" s="29" t="s">
        <v>84</v>
      </c>
      <c r="C165" s="28">
        <v>0</v>
      </c>
      <c r="D165" s="28">
        <v>19.87</v>
      </c>
      <c r="E165" s="27">
        <v>-19.87</v>
      </c>
      <c r="F165" s="27">
        <v>-442.09</v>
      </c>
      <c r="G165" s="27">
        <v>-0.38</v>
      </c>
      <c r="H165" s="27">
        <v>-441.71</v>
      </c>
    </row>
    <row r="166" spans="1:8" x14ac:dyDescent="0.25">
      <c r="A166" s="29" t="s">
        <v>83</v>
      </c>
      <c r="B166" s="29" t="s">
        <v>82</v>
      </c>
      <c r="C166" s="28">
        <v>995.38</v>
      </c>
      <c r="D166" s="28">
        <v>389.24</v>
      </c>
      <c r="E166" s="28">
        <v>606.14</v>
      </c>
      <c r="F166" s="28">
        <v>8545.66</v>
      </c>
      <c r="G166" s="28">
        <v>6403.54</v>
      </c>
      <c r="H166" s="28">
        <v>2142.12</v>
      </c>
    </row>
    <row r="167" spans="1:8" x14ac:dyDescent="0.25">
      <c r="A167" s="29" t="s">
        <v>81</v>
      </c>
      <c r="B167" s="29" t="s">
        <v>80</v>
      </c>
      <c r="C167" s="28">
        <v>0.72</v>
      </c>
      <c r="D167" s="28">
        <v>0</v>
      </c>
      <c r="E167" s="28">
        <v>0.72</v>
      </c>
      <c r="F167" s="28">
        <v>2.2200000000000002</v>
      </c>
      <c r="G167" s="28">
        <v>0</v>
      </c>
      <c r="H167" s="28">
        <v>2.2200000000000002</v>
      </c>
    </row>
    <row r="168" spans="1:8" x14ac:dyDescent="0.25">
      <c r="A168" s="29" t="s">
        <v>79</v>
      </c>
      <c r="B168" s="29" t="s">
        <v>78</v>
      </c>
      <c r="C168" s="27">
        <v>-240.56</v>
      </c>
      <c r="D168" s="27">
        <v>-3878.91</v>
      </c>
      <c r="E168" s="28">
        <v>3638.35</v>
      </c>
      <c r="F168" s="27">
        <v>-5890.66</v>
      </c>
      <c r="G168" s="27">
        <v>-13668.09</v>
      </c>
      <c r="H168" s="28">
        <v>7777.43</v>
      </c>
    </row>
    <row r="169" spans="1:8" x14ac:dyDescent="0.25">
      <c r="A169" s="29" t="s">
        <v>77</v>
      </c>
      <c r="B169" s="29" t="s">
        <v>76</v>
      </c>
      <c r="C169" s="28">
        <v>4698.91</v>
      </c>
      <c r="D169" s="28">
        <v>3801.01</v>
      </c>
      <c r="E169" s="28">
        <v>897.9</v>
      </c>
      <c r="F169" s="28">
        <v>17677.45</v>
      </c>
      <c r="G169" s="28">
        <v>14523.47</v>
      </c>
      <c r="H169" s="28">
        <v>3153.98</v>
      </c>
    </row>
    <row r="170" spans="1:8" x14ac:dyDescent="0.25">
      <c r="A170" s="29" t="s">
        <v>75</v>
      </c>
      <c r="B170" s="29" t="s">
        <v>74</v>
      </c>
      <c r="C170" s="28">
        <v>0</v>
      </c>
      <c r="D170" s="28">
        <v>0</v>
      </c>
      <c r="E170" s="28">
        <v>0</v>
      </c>
      <c r="F170" s="28">
        <v>0</v>
      </c>
      <c r="G170" s="28">
        <v>0</v>
      </c>
      <c r="H170" s="28">
        <v>0</v>
      </c>
    </row>
    <row r="171" spans="1:8" x14ac:dyDescent="0.25">
      <c r="A171" s="29" t="s">
        <v>73</v>
      </c>
      <c r="B171" s="29" t="s">
        <v>72</v>
      </c>
      <c r="C171" s="28">
        <v>0</v>
      </c>
      <c r="D171" s="28">
        <v>0</v>
      </c>
      <c r="E171" s="28">
        <v>0</v>
      </c>
      <c r="F171" s="28">
        <v>0</v>
      </c>
      <c r="G171" s="28">
        <v>0</v>
      </c>
      <c r="H171" s="28">
        <v>0</v>
      </c>
    </row>
    <row r="172" spans="1:8" x14ac:dyDescent="0.25">
      <c r="A172" s="29" t="s">
        <v>71</v>
      </c>
      <c r="B172" s="29" t="s">
        <v>70</v>
      </c>
      <c r="C172" s="28">
        <v>0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</row>
    <row r="173" spans="1:8" x14ac:dyDescent="0.25">
      <c r="A173" s="29" t="s">
        <v>69</v>
      </c>
      <c r="B173" s="29" t="s">
        <v>68</v>
      </c>
      <c r="C173" s="28">
        <v>0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</row>
    <row r="174" spans="1:8" x14ac:dyDescent="0.25">
      <c r="A174" s="29" t="s">
        <v>67</v>
      </c>
      <c r="B174" s="29" t="s">
        <v>66</v>
      </c>
      <c r="C174" s="28">
        <v>0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</row>
    <row r="175" spans="1:8" x14ac:dyDescent="0.25">
      <c r="A175" s="29" t="s">
        <v>65</v>
      </c>
      <c r="B175" s="29" t="s">
        <v>64</v>
      </c>
      <c r="C175" s="27">
        <v>-35311.14</v>
      </c>
      <c r="D175" s="28">
        <v>0</v>
      </c>
      <c r="E175" s="27">
        <v>-35311.14</v>
      </c>
      <c r="F175" s="27">
        <v>-35311.14</v>
      </c>
      <c r="G175" s="28">
        <v>0</v>
      </c>
      <c r="H175" s="27">
        <v>-35311.14</v>
      </c>
    </row>
    <row r="176" spans="1:8" x14ac:dyDescent="0.25">
      <c r="A176" s="29" t="s">
        <v>63</v>
      </c>
      <c r="B176" s="29" t="s">
        <v>62</v>
      </c>
      <c r="C176" s="28">
        <v>0</v>
      </c>
      <c r="D176" s="28">
        <v>0</v>
      </c>
      <c r="E176" s="28">
        <v>0</v>
      </c>
      <c r="F176" s="28">
        <v>598.5</v>
      </c>
      <c r="G176" s="28">
        <v>0</v>
      </c>
      <c r="H176" s="28">
        <v>598.5</v>
      </c>
    </row>
    <row r="177" spans="1:8" x14ac:dyDescent="0.25">
      <c r="A177" s="29"/>
      <c r="B177" s="29" t="s">
        <v>61</v>
      </c>
      <c r="C177" s="27">
        <v>-29856.69</v>
      </c>
      <c r="D177" s="28">
        <v>331.21</v>
      </c>
      <c r="E177" s="27">
        <v>-30187.9</v>
      </c>
      <c r="F177" s="27">
        <v>-14820.06</v>
      </c>
      <c r="G177" s="28">
        <v>7258.54</v>
      </c>
      <c r="H177" s="27">
        <v>-22078.6</v>
      </c>
    </row>
    <row r="178" spans="1:8" x14ac:dyDescent="0.25">
      <c r="B178" s="29" t="s">
        <v>51</v>
      </c>
    </row>
    <row r="179" spans="1:8" x14ac:dyDescent="0.25">
      <c r="A179" s="29"/>
      <c r="B179" s="29" t="s">
        <v>60</v>
      </c>
      <c r="C179" s="28">
        <v>741948.47</v>
      </c>
      <c r="D179" s="28">
        <v>356157.26</v>
      </c>
      <c r="E179" s="28">
        <v>385791.21</v>
      </c>
      <c r="F179" s="28">
        <v>301399.84999999998</v>
      </c>
      <c r="G179" s="28">
        <v>1031617.23</v>
      </c>
      <c r="H179" s="27">
        <v>-730217.38</v>
      </c>
    </row>
    <row r="180" spans="1:8" x14ac:dyDescent="0.25">
      <c r="B180" s="29" t="s">
        <v>51</v>
      </c>
    </row>
    <row r="181" spans="1:8" x14ac:dyDescent="0.25">
      <c r="B181" s="29" t="s">
        <v>59</v>
      </c>
    </row>
    <row r="182" spans="1:8" x14ac:dyDescent="0.25">
      <c r="A182" s="29" t="s">
        <v>58</v>
      </c>
      <c r="B182" s="29" t="s">
        <v>57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</row>
    <row r="183" spans="1:8" x14ac:dyDescent="0.25">
      <c r="A183" s="29" t="s">
        <v>56</v>
      </c>
      <c r="B183" s="29" t="s">
        <v>55</v>
      </c>
      <c r="C183" s="28">
        <v>0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</row>
    <row r="184" spans="1:8" x14ac:dyDescent="0.25">
      <c r="A184" s="29" t="s">
        <v>54</v>
      </c>
      <c r="B184" s="29" t="s">
        <v>53</v>
      </c>
      <c r="C184" s="28">
        <v>6209.75</v>
      </c>
      <c r="D184" s="28">
        <v>26209.75</v>
      </c>
      <c r="E184" s="27">
        <v>-20000</v>
      </c>
      <c r="F184" s="28">
        <v>80165.38</v>
      </c>
      <c r="G184" s="28">
        <v>30766.59</v>
      </c>
      <c r="H184" s="28">
        <v>49398.79</v>
      </c>
    </row>
    <row r="185" spans="1:8" x14ac:dyDescent="0.25">
      <c r="A185" s="29"/>
      <c r="B185" s="29" t="s">
        <v>52</v>
      </c>
      <c r="C185" s="28">
        <v>6209.75</v>
      </c>
      <c r="D185" s="28">
        <v>26209.75</v>
      </c>
      <c r="E185" s="27">
        <v>-20000</v>
      </c>
      <c r="F185" s="28">
        <v>80165.38</v>
      </c>
      <c r="G185" s="28">
        <v>30766.59</v>
      </c>
      <c r="H185" s="28">
        <v>49398.79</v>
      </c>
    </row>
    <row r="186" spans="1:8" x14ac:dyDescent="0.25">
      <c r="B186" s="29" t="s">
        <v>51</v>
      </c>
    </row>
    <row r="187" spans="1:8" x14ac:dyDescent="0.25">
      <c r="A187" s="29"/>
      <c r="B187" s="29" t="s">
        <v>50</v>
      </c>
      <c r="C187" s="28">
        <v>735738.72</v>
      </c>
      <c r="D187" s="28">
        <v>329947.51</v>
      </c>
      <c r="E187" s="28">
        <v>405791.21</v>
      </c>
      <c r="F187" s="28">
        <v>221234.47</v>
      </c>
      <c r="G187" s="28">
        <v>1000850.64</v>
      </c>
      <c r="H187" s="27">
        <v>-779616.17</v>
      </c>
    </row>
  </sheetData>
  <pageMargins left="0.75" right="0.75" top="1.5" bottom="1" header="0.5" footer="0.5"/>
  <pageSetup orientation="portrait"/>
  <headerFooter alignWithMargins="0">
    <oddHeader xml:space="preserve">&amp;C American Aerospace Controls Inc.
INCOME STATEMENT
FOR PERIOD ENDING:  12/31/2024
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314C-8F0B-4E72-B5E5-FCB28D8D6526}">
  <dimension ref="A1:H307"/>
  <sheetViews>
    <sheetView showGridLines="0" workbookViewId="0"/>
  </sheetViews>
  <sheetFormatPr defaultColWidth="9.08984375" defaultRowHeight="12.5" x14ac:dyDescent="0.25"/>
  <cols>
    <col min="1" max="1" width="13.6328125" style="26" customWidth="1"/>
    <col min="2" max="2" width="40.6328125" style="26" customWidth="1"/>
    <col min="3" max="4" width="16.6328125" style="26" customWidth="1"/>
    <col min="5" max="5" width="14.6328125" style="26" customWidth="1"/>
    <col min="6" max="6" width="16.6328125" style="26" customWidth="1"/>
    <col min="7" max="7" width="14.6328125" style="26" customWidth="1"/>
    <col min="8" max="8" width="16.6328125" style="26" customWidth="1"/>
    <col min="9" max="16384" width="9.08984375" style="26"/>
  </cols>
  <sheetData>
    <row r="1" spans="1:8" x14ac:dyDescent="0.25">
      <c r="A1" s="29" t="s">
        <v>342</v>
      </c>
      <c r="B1" s="29" t="s">
        <v>341</v>
      </c>
      <c r="C1" s="29" t="s">
        <v>340</v>
      </c>
      <c r="D1" s="29" t="s">
        <v>340</v>
      </c>
      <c r="E1" s="29" t="s">
        <v>337</v>
      </c>
      <c r="F1" s="29" t="s">
        <v>339</v>
      </c>
      <c r="G1" s="29" t="s">
        <v>338</v>
      </c>
      <c r="H1" s="29" t="s">
        <v>337</v>
      </c>
    </row>
    <row r="2" spans="1:8" x14ac:dyDescent="0.25">
      <c r="A2" s="29" t="s">
        <v>2</v>
      </c>
      <c r="B2" s="29" t="s">
        <v>2</v>
      </c>
      <c r="C2" s="29" t="s">
        <v>2</v>
      </c>
      <c r="D2" s="29" t="s">
        <v>336</v>
      </c>
      <c r="E2" s="29" t="s">
        <v>2</v>
      </c>
      <c r="F2" s="29" t="s">
        <v>2</v>
      </c>
      <c r="G2" s="29" t="s">
        <v>336</v>
      </c>
      <c r="H2" s="29" t="s">
        <v>2</v>
      </c>
    </row>
    <row r="3" spans="1:8" x14ac:dyDescent="0.25">
      <c r="B3" s="29" t="s">
        <v>335</v>
      </c>
    </row>
    <row r="4" spans="1:8" x14ac:dyDescent="0.25">
      <c r="A4" s="29" t="s">
        <v>334</v>
      </c>
      <c r="B4" s="29" t="s">
        <v>332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</row>
    <row r="5" spans="1:8" x14ac:dyDescent="0.25">
      <c r="A5" s="29" t="s">
        <v>333</v>
      </c>
      <c r="B5" s="29" t="s">
        <v>332</v>
      </c>
      <c r="C5" s="28">
        <v>392663.3</v>
      </c>
      <c r="D5" s="28">
        <v>264560</v>
      </c>
      <c r="E5" s="28">
        <v>128103.3</v>
      </c>
      <c r="F5" s="28">
        <v>4619436.62</v>
      </c>
      <c r="G5" s="28">
        <v>4025282.06</v>
      </c>
      <c r="H5" s="28">
        <v>594154.56000000006</v>
      </c>
    </row>
    <row r="6" spans="1:8" x14ac:dyDescent="0.25">
      <c r="A6" s="29" t="s">
        <v>331</v>
      </c>
      <c r="B6" s="29" t="s">
        <v>330</v>
      </c>
      <c r="C6" s="28">
        <v>0</v>
      </c>
      <c r="D6" s="28">
        <v>0</v>
      </c>
      <c r="E6" s="28">
        <v>0</v>
      </c>
      <c r="F6" s="27">
        <v>-21666</v>
      </c>
      <c r="G6" s="28">
        <v>0</v>
      </c>
      <c r="H6" s="27">
        <v>-21666</v>
      </c>
    </row>
    <row r="7" spans="1:8" x14ac:dyDescent="0.25">
      <c r="A7" s="29" t="s">
        <v>329</v>
      </c>
      <c r="B7" s="29" t="s">
        <v>322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</row>
    <row r="8" spans="1:8" x14ac:dyDescent="0.25">
      <c r="A8" s="29" t="s">
        <v>328</v>
      </c>
      <c r="B8" s="29" t="s">
        <v>322</v>
      </c>
      <c r="C8" s="28">
        <v>0</v>
      </c>
      <c r="D8" s="28">
        <v>0</v>
      </c>
      <c r="E8" s="28">
        <v>0</v>
      </c>
      <c r="F8" s="27">
        <v>-0.02</v>
      </c>
      <c r="G8" s="27">
        <v>-849.59</v>
      </c>
      <c r="H8" s="28">
        <v>849.57</v>
      </c>
    </row>
    <row r="9" spans="1:8" x14ac:dyDescent="0.25">
      <c r="A9" s="29" t="s">
        <v>327</v>
      </c>
      <c r="B9" s="29" t="s">
        <v>326</v>
      </c>
      <c r="C9" s="28">
        <v>300</v>
      </c>
      <c r="D9" s="28">
        <v>0</v>
      </c>
      <c r="E9" s="28">
        <v>300</v>
      </c>
      <c r="F9" s="28">
        <v>5793.03</v>
      </c>
      <c r="G9" s="28">
        <v>19308</v>
      </c>
      <c r="H9" s="27">
        <v>-13514.97</v>
      </c>
    </row>
    <row r="10" spans="1:8" x14ac:dyDescent="0.25">
      <c r="A10" s="29" t="s">
        <v>325</v>
      </c>
      <c r="B10" s="29" t="s">
        <v>324</v>
      </c>
      <c r="C10" s="28">
        <v>0</v>
      </c>
      <c r="D10" s="28">
        <v>0</v>
      </c>
      <c r="E10" s="28">
        <v>0</v>
      </c>
      <c r="F10" s="28">
        <v>352087.8</v>
      </c>
      <c r="G10" s="28">
        <v>243810</v>
      </c>
      <c r="H10" s="28">
        <v>108277.8</v>
      </c>
    </row>
    <row r="11" spans="1:8" x14ac:dyDescent="0.25">
      <c r="A11" s="29" t="s">
        <v>323</v>
      </c>
      <c r="B11" s="29" t="s">
        <v>322</v>
      </c>
      <c r="C11" s="28">
        <v>0</v>
      </c>
      <c r="D11" s="28">
        <v>0</v>
      </c>
      <c r="E11" s="28">
        <v>0</v>
      </c>
      <c r="F11" s="28">
        <v>0</v>
      </c>
      <c r="G11" s="28">
        <v>0</v>
      </c>
      <c r="H11" s="28">
        <v>0</v>
      </c>
    </row>
    <row r="12" spans="1:8" x14ac:dyDescent="0.25">
      <c r="A12" s="29"/>
      <c r="B12" s="29" t="s">
        <v>321</v>
      </c>
      <c r="C12" s="28">
        <v>392963.3</v>
      </c>
      <c r="D12" s="28">
        <v>264560</v>
      </c>
      <c r="E12" s="28">
        <v>128403.3</v>
      </c>
      <c r="F12" s="28">
        <v>4955651.43</v>
      </c>
      <c r="G12" s="28">
        <v>4287550.47</v>
      </c>
      <c r="H12" s="28">
        <v>668100.96</v>
      </c>
    </row>
    <row r="13" spans="1:8" x14ac:dyDescent="0.25">
      <c r="B13" s="29" t="s">
        <v>51</v>
      </c>
    </row>
    <row r="14" spans="1:8" x14ac:dyDescent="0.25">
      <c r="B14" s="29" t="s">
        <v>320</v>
      </c>
    </row>
    <row r="15" spans="1:8" x14ac:dyDescent="0.25">
      <c r="A15" s="29" t="s">
        <v>319</v>
      </c>
      <c r="B15" s="29" t="s">
        <v>318</v>
      </c>
      <c r="C15" s="28">
        <v>44925.16</v>
      </c>
      <c r="D15" s="28">
        <v>19998.900000000001</v>
      </c>
      <c r="E15" s="28">
        <v>24926.26</v>
      </c>
      <c r="F15" s="28">
        <v>538021.34</v>
      </c>
      <c r="G15" s="28">
        <v>401146.97</v>
      </c>
      <c r="H15" s="28">
        <v>136874.37</v>
      </c>
    </row>
    <row r="16" spans="1:8" x14ac:dyDescent="0.25">
      <c r="A16" s="29" t="s">
        <v>317</v>
      </c>
      <c r="B16" s="29" t="s">
        <v>316</v>
      </c>
      <c r="C16" s="28">
        <v>35372.67</v>
      </c>
      <c r="D16" s="28">
        <v>10588.17</v>
      </c>
      <c r="E16" s="28">
        <v>24784.5</v>
      </c>
      <c r="F16" s="28">
        <v>318975.76</v>
      </c>
      <c r="G16" s="28">
        <v>199557.05</v>
      </c>
      <c r="H16" s="28">
        <v>119418.71</v>
      </c>
    </row>
    <row r="17" spans="1:8" x14ac:dyDescent="0.25">
      <c r="A17" s="29" t="s">
        <v>315</v>
      </c>
      <c r="B17" s="29" t="s">
        <v>314</v>
      </c>
      <c r="C17" s="28">
        <v>126933.91</v>
      </c>
      <c r="D17" s="28">
        <v>15890.88</v>
      </c>
      <c r="E17" s="28">
        <v>111043.03</v>
      </c>
      <c r="F17" s="28">
        <v>913615.09</v>
      </c>
      <c r="G17" s="28">
        <v>299579.03999999998</v>
      </c>
      <c r="H17" s="28">
        <v>614036.05000000005</v>
      </c>
    </row>
    <row r="18" spans="1:8" x14ac:dyDescent="0.25">
      <c r="A18" s="29" t="s">
        <v>313</v>
      </c>
      <c r="B18" s="29" t="s">
        <v>312</v>
      </c>
      <c r="C18" s="28">
        <v>16237.04</v>
      </c>
      <c r="D18" s="28">
        <v>7414</v>
      </c>
      <c r="E18" s="28">
        <v>8823.0400000000009</v>
      </c>
      <c r="F18" s="28">
        <v>154013.29999999999</v>
      </c>
      <c r="G18" s="28">
        <v>111039.47</v>
      </c>
      <c r="H18" s="28">
        <v>42973.83</v>
      </c>
    </row>
    <row r="19" spans="1:8" x14ac:dyDescent="0.25">
      <c r="A19" s="29" t="s">
        <v>311</v>
      </c>
      <c r="B19" s="29" t="s">
        <v>310</v>
      </c>
      <c r="C19" s="28">
        <v>0</v>
      </c>
      <c r="D19" s="28">
        <v>0</v>
      </c>
      <c r="E19" s="28">
        <v>0</v>
      </c>
      <c r="F19" s="28">
        <v>124570</v>
      </c>
      <c r="G19" s="28">
        <v>0</v>
      </c>
      <c r="H19" s="28">
        <v>124570</v>
      </c>
    </row>
    <row r="20" spans="1:8" x14ac:dyDescent="0.25">
      <c r="A20" s="29" t="s">
        <v>309</v>
      </c>
      <c r="B20" s="29" t="s">
        <v>308</v>
      </c>
      <c r="C20" s="27">
        <v>-411.5</v>
      </c>
      <c r="D20" s="27">
        <v>-16028.43</v>
      </c>
      <c r="E20" s="28">
        <v>15616.93</v>
      </c>
      <c r="F20" s="27">
        <v>-8052.03</v>
      </c>
      <c r="G20" s="27">
        <v>-17692.96</v>
      </c>
      <c r="H20" s="28">
        <v>9640.93</v>
      </c>
    </row>
    <row r="21" spans="1:8" x14ac:dyDescent="0.25">
      <c r="A21" s="29" t="s">
        <v>307</v>
      </c>
      <c r="B21" s="29" t="s">
        <v>306</v>
      </c>
      <c r="C21" s="28">
        <v>22291.02</v>
      </c>
      <c r="D21" s="28">
        <v>0</v>
      </c>
      <c r="E21" s="28">
        <v>22291.02</v>
      </c>
      <c r="F21" s="28">
        <v>265501.26</v>
      </c>
      <c r="G21" s="28">
        <v>11872.07</v>
      </c>
      <c r="H21" s="28">
        <v>253629.19</v>
      </c>
    </row>
    <row r="22" spans="1:8" x14ac:dyDescent="0.25">
      <c r="A22" s="29" t="s">
        <v>305</v>
      </c>
      <c r="B22" s="29" t="s">
        <v>304</v>
      </c>
      <c r="C22" s="28">
        <v>1708.76</v>
      </c>
      <c r="D22" s="28">
        <v>691.95</v>
      </c>
      <c r="E22" s="28">
        <v>1016.81</v>
      </c>
      <c r="F22" s="28">
        <v>4694.03</v>
      </c>
      <c r="G22" s="28">
        <v>947.69</v>
      </c>
      <c r="H22" s="28">
        <v>3746.34</v>
      </c>
    </row>
    <row r="23" spans="1:8" x14ac:dyDescent="0.25">
      <c r="A23" s="29" t="s">
        <v>303</v>
      </c>
      <c r="B23" s="29" t="s">
        <v>302</v>
      </c>
      <c r="C23" s="28">
        <v>2830.61</v>
      </c>
      <c r="D23" s="28">
        <v>1800.83</v>
      </c>
      <c r="E23" s="28">
        <v>1029.78</v>
      </c>
      <c r="F23" s="28">
        <v>7772.34</v>
      </c>
      <c r="G23" s="28">
        <v>12501.9</v>
      </c>
      <c r="H23" s="27">
        <v>-4729.5600000000004</v>
      </c>
    </row>
    <row r="24" spans="1:8" x14ac:dyDescent="0.25">
      <c r="A24" s="29" t="s">
        <v>301</v>
      </c>
      <c r="B24" s="29" t="s">
        <v>300</v>
      </c>
      <c r="C24" s="28">
        <v>298.75</v>
      </c>
      <c r="D24" s="28">
        <v>415.8</v>
      </c>
      <c r="E24" s="27">
        <v>-117.05</v>
      </c>
      <c r="F24" s="28">
        <v>873.21</v>
      </c>
      <c r="G24" s="28">
        <v>1863.51</v>
      </c>
      <c r="H24" s="27">
        <v>-990.3</v>
      </c>
    </row>
    <row r="25" spans="1:8" x14ac:dyDescent="0.25">
      <c r="A25" s="29" t="s">
        <v>299</v>
      </c>
      <c r="B25" s="29" t="s">
        <v>298</v>
      </c>
      <c r="C25" s="27">
        <v>-57527.86</v>
      </c>
      <c r="D25" s="27">
        <v>-16040.61</v>
      </c>
      <c r="E25" s="27">
        <v>-41487.25</v>
      </c>
      <c r="F25" s="27">
        <v>-434287.18</v>
      </c>
      <c r="G25" s="27">
        <v>-205030.21</v>
      </c>
      <c r="H25" s="27">
        <v>-229256.97</v>
      </c>
    </row>
    <row r="26" spans="1:8" x14ac:dyDescent="0.25">
      <c r="A26" s="29" t="s">
        <v>297</v>
      </c>
      <c r="B26" s="29" t="s">
        <v>296</v>
      </c>
      <c r="C26" s="27">
        <v>-197704.17</v>
      </c>
      <c r="D26" s="27">
        <v>-23221.73</v>
      </c>
      <c r="E26" s="27">
        <v>-174482.44</v>
      </c>
      <c r="F26" s="27">
        <v>-1360310.21</v>
      </c>
      <c r="G26" s="27">
        <v>-304081.93</v>
      </c>
      <c r="H26" s="27">
        <v>-1056228.28</v>
      </c>
    </row>
    <row r="27" spans="1:8" x14ac:dyDescent="0.25">
      <c r="A27" s="29" t="s">
        <v>295</v>
      </c>
      <c r="B27" s="29" t="s">
        <v>294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</row>
    <row r="28" spans="1:8" x14ac:dyDescent="0.25">
      <c r="A28" s="29" t="s">
        <v>293</v>
      </c>
      <c r="B28" s="29" t="s">
        <v>292</v>
      </c>
      <c r="C28" s="28">
        <v>68125.600000000006</v>
      </c>
      <c r="D28" s="28">
        <v>70352.259999999995</v>
      </c>
      <c r="E28" s="27">
        <v>-2226.66</v>
      </c>
      <c r="F28" s="28">
        <v>638113.53</v>
      </c>
      <c r="G28" s="28">
        <v>649544.54</v>
      </c>
      <c r="H28" s="27">
        <v>-11431.01</v>
      </c>
    </row>
    <row r="29" spans="1:8" x14ac:dyDescent="0.25">
      <c r="A29" s="29" t="s">
        <v>291</v>
      </c>
      <c r="B29" s="29" t="s">
        <v>287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</row>
    <row r="30" spans="1:8" x14ac:dyDescent="0.25">
      <c r="A30" s="29" t="s">
        <v>290</v>
      </c>
      <c r="B30" s="29" t="s">
        <v>287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</row>
    <row r="31" spans="1:8" x14ac:dyDescent="0.25">
      <c r="A31" s="29" t="s">
        <v>289</v>
      </c>
      <c r="B31" s="29" t="s">
        <v>287</v>
      </c>
      <c r="C31" s="28">
        <v>26420.48</v>
      </c>
      <c r="D31" s="28">
        <v>27263.79</v>
      </c>
      <c r="E31" s="27">
        <v>-843.31</v>
      </c>
      <c r="F31" s="28">
        <v>217070.15</v>
      </c>
      <c r="G31" s="28">
        <v>226555.53</v>
      </c>
      <c r="H31" s="27">
        <v>-9485.3799999999992</v>
      </c>
    </row>
    <row r="32" spans="1:8" x14ac:dyDescent="0.25">
      <c r="A32" s="29" t="s">
        <v>288</v>
      </c>
      <c r="B32" s="29" t="s">
        <v>287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</row>
    <row r="33" spans="1:8" x14ac:dyDescent="0.25">
      <c r="A33" s="29" t="s">
        <v>286</v>
      </c>
      <c r="B33" s="29" t="s">
        <v>284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</row>
    <row r="34" spans="1:8" x14ac:dyDescent="0.25">
      <c r="A34" s="29" t="s">
        <v>285</v>
      </c>
      <c r="B34" s="29" t="s">
        <v>284</v>
      </c>
      <c r="C34" s="28">
        <v>24650.3</v>
      </c>
      <c r="D34" s="28">
        <v>29614.38</v>
      </c>
      <c r="E34" s="27">
        <v>-4964.08</v>
      </c>
      <c r="F34" s="28">
        <v>240869.6</v>
      </c>
      <c r="G34" s="28">
        <v>285070.82</v>
      </c>
      <c r="H34" s="27">
        <v>-44201.22</v>
      </c>
    </row>
    <row r="35" spans="1:8" x14ac:dyDescent="0.25">
      <c r="A35" s="29" t="s">
        <v>283</v>
      </c>
      <c r="B35" s="29" t="s">
        <v>280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</row>
    <row r="36" spans="1:8" x14ac:dyDescent="0.25">
      <c r="A36" s="29" t="s">
        <v>282</v>
      </c>
      <c r="B36" s="29" t="s">
        <v>280</v>
      </c>
      <c r="C36" s="28">
        <v>61578.52</v>
      </c>
      <c r="D36" s="28">
        <v>57781.34</v>
      </c>
      <c r="E36" s="28">
        <v>3797.18</v>
      </c>
      <c r="F36" s="28">
        <v>541281.46</v>
      </c>
      <c r="G36" s="28">
        <v>550067.77</v>
      </c>
      <c r="H36" s="27">
        <v>-8786.31</v>
      </c>
    </row>
    <row r="37" spans="1:8" x14ac:dyDescent="0.25">
      <c r="A37" s="29" t="s">
        <v>281</v>
      </c>
      <c r="B37" s="29" t="s">
        <v>280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</row>
    <row r="38" spans="1:8" x14ac:dyDescent="0.25">
      <c r="A38" s="29" t="s">
        <v>279</v>
      </c>
      <c r="B38" s="29" t="s">
        <v>276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</row>
    <row r="39" spans="1:8" x14ac:dyDescent="0.25">
      <c r="A39" s="29" t="s">
        <v>278</v>
      </c>
      <c r="B39" s="29" t="s">
        <v>276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</row>
    <row r="40" spans="1:8" x14ac:dyDescent="0.25">
      <c r="A40" s="29" t="s">
        <v>277</v>
      </c>
      <c r="B40" s="29" t="s">
        <v>276</v>
      </c>
      <c r="C40" s="28">
        <v>27552.02</v>
      </c>
      <c r="D40" s="28">
        <v>22013.8</v>
      </c>
      <c r="E40" s="28">
        <v>5538.22</v>
      </c>
      <c r="F40" s="28">
        <v>218084.88</v>
      </c>
      <c r="G40" s="28">
        <v>196523.19</v>
      </c>
      <c r="H40" s="28">
        <v>21561.69</v>
      </c>
    </row>
    <row r="41" spans="1:8" x14ac:dyDescent="0.25">
      <c r="A41" s="29" t="s">
        <v>275</v>
      </c>
      <c r="B41" s="29" t="s">
        <v>274</v>
      </c>
      <c r="C41" s="28">
        <v>9179.49</v>
      </c>
      <c r="D41" s="28">
        <v>0</v>
      </c>
      <c r="E41" s="28">
        <v>9179.49</v>
      </c>
      <c r="F41" s="28">
        <v>87300.46</v>
      </c>
      <c r="G41" s="28">
        <v>0</v>
      </c>
      <c r="H41" s="28">
        <v>87300.46</v>
      </c>
    </row>
    <row r="42" spans="1:8" x14ac:dyDescent="0.25">
      <c r="A42" s="29" t="s">
        <v>273</v>
      </c>
      <c r="B42" s="29" t="s">
        <v>90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</row>
    <row r="43" spans="1:8" x14ac:dyDescent="0.25">
      <c r="A43" s="29" t="s">
        <v>272</v>
      </c>
      <c r="B43" s="29" t="s">
        <v>90</v>
      </c>
      <c r="C43" s="28">
        <v>27792.66</v>
      </c>
      <c r="D43" s="28">
        <v>30245.83</v>
      </c>
      <c r="E43" s="27">
        <v>-2453.17</v>
      </c>
      <c r="F43" s="28">
        <v>261403.08</v>
      </c>
      <c r="G43" s="28">
        <v>245961.28</v>
      </c>
      <c r="H43" s="28">
        <v>15441.8</v>
      </c>
    </row>
    <row r="44" spans="1:8" x14ac:dyDescent="0.25">
      <c r="A44" s="29" t="s">
        <v>271</v>
      </c>
      <c r="B44" s="29" t="s">
        <v>154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</row>
    <row r="45" spans="1:8" x14ac:dyDescent="0.25">
      <c r="A45" s="29" t="s">
        <v>270</v>
      </c>
      <c r="B45" s="29" t="s">
        <v>154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</row>
    <row r="46" spans="1:8" x14ac:dyDescent="0.25">
      <c r="A46" s="29" t="s">
        <v>269</v>
      </c>
      <c r="B46" s="29" t="s">
        <v>154</v>
      </c>
      <c r="C46" s="28">
        <v>15062.53</v>
      </c>
      <c r="D46" s="28">
        <v>14446.21</v>
      </c>
      <c r="E46" s="28">
        <v>616.32000000000005</v>
      </c>
      <c r="F46" s="28">
        <v>156396.29</v>
      </c>
      <c r="G46" s="28">
        <v>152261.94</v>
      </c>
      <c r="H46" s="28">
        <v>4134.3500000000004</v>
      </c>
    </row>
    <row r="47" spans="1:8" x14ac:dyDescent="0.25">
      <c r="A47" s="29" t="s">
        <v>268</v>
      </c>
      <c r="B47" s="29" t="s">
        <v>150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</row>
    <row r="48" spans="1:8" x14ac:dyDescent="0.25">
      <c r="A48" s="29" t="s">
        <v>267</v>
      </c>
      <c r="B48" s="29" t="s">
        <v>266</v>
      </c>
      <c r="C48" s="28">
        <v>658.75</v>
      </c>
      <c r="D48" s="28">
        <v>4.41</v>
      </c>
      <c r="E48" s="28">
        <v>654.34</v>
      </c>
      <c r="F48" s="28">
        <v>5136.17</v>
      </c>
      <c r="G48" s="28">
        <v>23.53</v>
      </c>
      <c r="H48" s="28">
        <v>5112.6400000000003</v>
      </c>
    </row>
    <row r="49" spans="1:8" x14ac:dyDescent="0.25">
      <c r="A49" s="29" t="s">
        <v>265</v>
      </c>
      <c r="B49" s="29" t="s">
        <v>264</v>
      </c>
      <c r="C49" s="28">
        <v>0</v>
      </c>
      <c r="D49" s="28">
        <v>0</v>
      </c>
      <c r="E49" s="28">
        <v>0</v>
      </c>
      <c r="F49" s="28">
        <v>0</v>
      </c>
      <c r="G49" s="28">
        <v>238.51</v>
      </c>
      <c r="H49" s="27">
        <v>-238.51</v>
      </c>
    </row>
    <row r="50" spans="1:8" x14ac:dyDescent="0.25">
      <c r="A50" s="29" t="s">
        <v>263</v>
      </c>
      <c r="B50" s="29" t="s">
        <v>262</v>
      </c>
      <c r="C50" s="28">
        <v>3324.7</v>
      </c>
      <c r="D50" s="28">
        <v>554.94000000000005</v>
      </c>
      <c r="E50" s="28">
        <v>2769.76</v>
      </c>
      <c r="F50" s="28">
        <v>16762.53</v>
      </c>
      <c r="G50" s="28">
        <v>2045.55</v>
      </c>
      <c r="H50" s="28">
        <v>14716.98</v>
      </c>
    </row>
    <row r="51" spans="1:8" x14ac:dyDescent="0.25">
      <c r="A51" s="29" t="s">
        <v>261</v>
      </c>
      <c r="B51" s="29" t="s">
        <v>259</v>
      </c>
      <c r="C51" s="28">
        <v>0</v>
      </c>
      <c r="D51" s="28">
        <v>0</v>
      </c>
      <c r="E51" s="28">
        <v>0</v>
      </c>
      <c r="F51" s="28">
        <v>0</v>
      </c>
      <c r="G51" s="28">
        <v>0</v>
      </c>
      <c r="H51" s="28">
        <v>0</v>
      </c>
    </row>
    <row r="52" spans="1:8" x14ac:dyDescent="0.25">
      <c r="A52" s="29" t="s">
        <v>260</v>
      </c>
      <c r="B52" s="29" t="s">
        <v>259</v>
      </c>
      <c r="C52" s="28">
        <v>3059.36</v>
      </c>
      <c r="D52" s="28">
        <v>1618.06</v>
      </c>
      <c r="E52" s="28">
        <v>1441.3</v>
      </c>
      <c r="F52" s="28">
        <v>18098.62</v>
      </c>
      <c r="G52" s="28">
        <v>15282.05</v>
      </c>
      <c r="H52" s="28">
        <v>2816.57</v>
      </c>
    </row>
    <row r="53" spans="1:8" x14ac:dyDescent="0.25">
      <c r="A53" s="29" t="s">
        <v>258</v>
      </c>
      <c r="B53" s="29" t="s">
        <v>256</v>
      </c>
      <c r="C53" s="28">
        <v>0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</row>
    <row r="54" spans="1:8" x14ac:dyDescent="0.25">
      <c r="A54" s="29" t="s">
        <v>257</v>
      </c>
      <c r="B54" s="29" t="s">
        <v>256</v>
      </c>
      <c r="C54" s="27">
        <v>-681.42</v>
      </c>
      <c r="D54" s="28">
        <v>130.03</v>
      </c>
      <c r="E54" s="27">
        <v>-811.45</v>
      </c>
      <c r="F54" s="27">
        <v>-1010.45</v>
      </c>
      <c r="G54" s="28">
        <v>235.74</v>
      </c>
      <c r="H54" s="27">
        <v>-1246.19</v>
      </c>
    </row>
    <row r="55" spans="1:8" x14ac:dyDescent="0.25">
      <c r="A55" s="29" t="s">
        <v>255</v>
      </c>
      <c r="B55" s="29" t="s">
        <v>254</v>
      </c>
      <c r="C55" s="28">
        <v>0</v>
      </c>
      <c r="D55" s="28">
        <v>0</v>
      </c>
      <c r="E55" s="28">
        <v>0</v>
      </c>
      <c r="F55" s="28">
        <v>0</v>
      </c>
      <c r="G55" s="28">
        <v>269.8</v>
      </c>
      <c r="H55" s="27">
        <v>-269.8</v>
      </c>
    </row>
    <row r="56" spans="1:8" x14ac:dyDescent="0.25">
      <c r="A56" s="29" t="s">
        <v>253</v>
      </c>
      <c r="B56" s="29" t="s">
        <v>252</v>
      </c>
      <c r="C56" s="28">
        <v>849.73</v>
      </c>
      <c r="D56" s="28">
        <v>0</v>
      </c>
      <c r="E56" s="28">
        <v>849.73</v>
      </c>
      <c r="F56" s="28">
        <v>14600.81</v>
      </c>
      <c r="G56" s="28">
        <v>14780.85</v>
      </c>
      <c r="H56" s="27">
        <v>-180.04</v>
      </c>
    </row>
    <row r="57" spans="1:8" x14ac:dyDescent="0.25">
      <c r="A57" s="29" t="s">
        <v>251</v>
      </c>
      <c r="B57" s="29" t="s">
        <v>250</v>
      </c>
      <c r="C57" s="28">
        <v>0</v>
      </c>
      <c r="D57" s="28">
        <v>0</v>
      </c>
      <c r="E57" s="28">
        <v>0</v>
      </c>
      <c r="F57" s="28">
        <v>2309.23</v>
      </c>
      <c r="G57" s="28">
        <v>342.4</v>
      </c>
      <c r="H57" s="28">
        <v>1966.83</v>
      </c>
    </row>
    <row r="58" spans="1:8" x14ac:dyDescent="0.25">
      <c r="A58" s="29" t="s">
        <v>249</v>
      </c>
      <c r="B58" s="29" t="s">
        <v>248</v>
      </c>
      <c r="C58" s="28">
        <v>10239.030000000001</v>
      </c>
      <c r="D58" s="28">
        <v>54.4</v>
      </c>
      <c r="E58" s="28">
        <v>10184.629999999999</v>
      </c>
      <c r="F58" s="28">
        <v>21158.400000000001</v>
      </c>
      <c r="G58" s="28">
        <v>4887.1899999999996</v>
      </c>
      <c r="H58" s="28">
        <v>16271.21</v>
      </c>
    </row>
    <row r="59" spans="1:8" x14ac:dyDescent="0.25">
      <c r="A59" s="29" t="s">
        <v>247</v>
      </c>
      <c r="B59" s="29" t="s">
        <v>245</v>
      </c>
      <c r="C59" s="28">
        <v>0</v>
      </c>
      <c r="D59" s="28">
        <v>0</v>
      </c>
      <c r="E59" s="28">
        <v>0</v>
      </c>
      <c r="F59" s="28">
        <v>0</v>
      </c>
      <c r="G59" s="28">
        <v>0</v>
      </c>
      <c r="H59" s="28">
        <v>0</v>
      </c>
    </row>
    <row r="60" spans="1:8" x14ac:dyDescent="0.25">
      <c r="A60" s="29" t="s">
        <v>246</v>
      </c>
      <c r="B60" s="29" t="s">
        <v>245</v>
      </c>
      <c r="C60" s="28">
        <v>2828.34</v>
      </c>
      <c r="D60" s="28">
        <v>4471.9399999999996</v>
      </c>
      <c r="E60" s="27">
        <v>-1643.6</v>
      </c>
      <c r="F60" s="28">
        <v>29791.39</v>
      </c>
      <c r="G60" s="28">
        <v>31842.71</v>
      </c>
      <c r="H60" s="27">
        <v>-2051.3200000000002</v>
      </c>
    </row>
    <row r="61" spans="1:8" x14ac:dyDescent="0.25">
      <c r="A61" s="29" t="s">
        <v>244</v>
      </c>
      <c r="B61" s="29" t="s">
        <v>243</v>
      </c>
      <c r="C61" s="28">
        <v>0</v>
      </c>
      <c r="D61" s="28">
        <v>2107.3200000000002</v>
      </c>
      <c r="E61" s="27">
        <v>-2107.3200000000002</v>
      </c>
      <c r="F61" s="28">
        <v>13841.64</v>
      </c>
      <c r="G61" s="28">
        <v>20934.63</v>
      </c>
      <c r="H61" s="27">
        <v>-7092.99</v>
      </c>
    </row>
    <row r="62" spans="1:8" x14ac:dyDescent="0.25">
      <c r="A62" s="29" t="s">
        <v>242</v>
      </c>
      <c r="B62" s="29" t="s">
        <v>241</v>
      </c>
      <c r="C62" s="28">
        <v>3916.73</v>
      </c>
      <c r="D62" s="28">
        <v>6670.46</v>
      </c>
      <c r="E62" s="27">
        <v>-2753.73</v>
      </c>
      <c r="F62" s="28">
        <v>43484.25</v>
      </c>
      <c r="G62" s="28">
        <v>82795.37</v>
      </c>
      <c r="H62" s="27">
        <v>-39311.120000000003</v>
      </c>
    </row>
    <row r="63" spans="1:8" x14ac:dyDescent="0.25">
      <c r="A63" s="29" t="s">
        <v>240</v>
      </c>
      <c r="B63" s="29" t="s">
        <v>136</v>
      </c>
      <c r="C63" s="28">
        <v>0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</row>
    <row r="64" spans="1:8" x14ac:dyDescent="0.25">
      <c r="A64" s="29" t="s">
        <v>239</v>
      </c>
      <c r="B64" s="29" t="s">
        <v>238</v>
      </c>
      <c r="C64" s="28">
        <v>0</v>
      </c>
      <c r="D64" s="28">
        <v>0</v>
      </c>
      <c r="E64" s="28">
        <v>0</v>
      </c>
      <c r="F64" s="28">
        <v>9800</v>
      </c>
      <c r="G64" s="28">
        <v>2595.75</v>
      </c>
      <c r="H64" s="28">
        <v>7204.25</v>
      </c>
    </row>
    <row r="65" spans="1:8" x14ac:dyDescent="0.25">
      <c r="A65" s="29" t="s">
        <v>237</v>
      </c>
      <c r="B65" s="29" t="s">
        <v>236</v>
      </c>
      <c r="C65" s="28">
        <v>2328.52</v>
      </c>
      <c r="D65" s="28">
        <v>17239.8</v>
      </c>
      <c r="E65" s="27">
        <v>-14911.28</v>
      </c>
      <c r="F65" s="28">
        <v>24210.26</v>
      </c>
      <c r="G65" s="28">
        <v>93433.53</v>
      </c>
      <c r="H65" s="27">
        <v>-69223.27</v>
      </c>
    </row>
    <row r="66" spans="1:8" x14ac:dyDescent="0.25">
      <c r="A66" s="29" t="s">
        <v>235</v>
      </c>
      <c r="B66" s="29" t="s">
        <v>234</v>
      </c>
      <c r="C66" s="28">
        <v>0</v>
      </c>
      <c r="D66" s="28">
        <v>1605.48</v>
      </c>
      <c r="E66" s="27">
        <v>-1605.48</v>
      </c>
      <c r="F66" s="28">
        <v>16385.61</v>
      </c>
      <c r="G66" s="28">
        <v>5369.15</v>
      </c>
      <c r="H66" s="28">
        <v>11016.46</v>
      </c>
    </row>
    <row r="67" spans="1:8" x14ac:dyDescent="0.25">
      <c r="A67" s="29" t="s">
        <v>233</v>
      </c>
      <c r="B67" s="29" t="s">
        <v>232</v>
      </c>
      <c r="C67" s="28">
        <v>4.47</v>
      </c>
      <c r="D67" s="28">
        <v>0.88</v>
      </c>
      <c r="E67" s="28">
        <v>3.59</v>
      </c>
      <c r="F67" s="28">
        <v>2010.6</v>
      </c>
      <c r="G67" s="28">
        <v>7676.44</v>
      </c>
      <c r="H67" s="27">
        <v>-5665.84</v>
      </c>
    </row>
    <row r="68" spans="1:8" x14ac:dyDescent="0.25">
      <c r="A68" s="29" t="s">
        <v>231</v>
      </c>
      <c r="B68" s="29" t="s">
        <v>230</v>
      </c>
      <c r="C68" s="28">
        <v>9717.9599999999991</v>
      </c>
      <c r="D68" s="28">
        <v>590.75</v>
      </c>
      <c r="E68" s="28">
        <v>9127.2099999999991</v>
      </c>
      <c r="F68" s="28">
        <v>14033.95</v>
      </c>
      <c r="G68" s="28">
        <v>7408.64</v>
      </c>
      <c r="H68" s="28">
        <v>6625.31</v>
      </c>
    </row>
    <row r="69" spans="1:8" x14ac:dyDescent="0.25">
      <c r="A69" s="29" t="s">
        <v>229</v>
      </c>
      <c r="B69" s="29" t="s">
        <v>228</v>
      </c>
      <c r="C69" s="28">
        <v>0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</row>
    <row r="70" spans="1:8" x14ac:dyDescent="0.25">
      <c r="A70" s="29" t="s">
        <v>227</v>
      </c>
      <c r="B70" s="29" t="s">
        <v>226</v>
      </c>
      <c r="C70" s="28">
        <v>0</v>
      </c>
      <c r="D70" s="28">
        <v>3241.37</v>
      </c>
      <c r="E70" s="27">
        <v>-3241.37</v>
      </c>
      <c r="F70" s="28">
        <v>1221.78</v>
      </c>
      <c r="G70" s="28">
        <v>5178.91</v>
      </c>
      <c r="H70" s="27">
        <v>-3957.13</v>
      </c>
    </row>
    <row r="71" spans="1:8" x14ac:dyDescent="0.25">
      <c r="A71" s="29" t="s">
        <v>225</v>
      </c>
      <c r="B71" s="29" t="s">
        <v>224</v>
      </c>
      <c r="C71" s="28">
        <v>1121</v>
      </c>
      <c r="D71" s="28">
        <v>1558</v>
      </c>
      <c r="E71" s="27">
        <v>-437</v>
      </c>
      <c r="F71" s="28">
        <v>9626</v>
      </c>
      <c r="G71" s="28">
        <v>6349</v>
      </c>
      <c r="H71" s="28">
        <v>3277</v>
      </c>
    </row>
    <row r="72" spans="1:8" x14ac:dyDescent="0.25">
      <c r="A72" s="29" t="s">
        <v>223</v>
      </c>
      <c r="B72" s="29" t="s">
        <v>222</v>
      </c>
      <c r="C72" s="28">
        <v>0</v>
      </c>
      <c r="D72" s="28">
        <v>0</v>
      </c>
      <c r="E72" s="28">
        <v>0</v>
      </c>
      <c r="F72" s="28">
        <v>500</v>
      </c>
      <c r="G72" s="28">
        <v>500</v>
      </c>
      <c r="H72" s="28">
        <v>0</v>
      </c>
    </row>
    <row r="73" spans="1:8" x14ac:dyDescent="0.25">
      <c r="A73" s="29" t="s">
        <v>221</v>
      </c>
      <c r="B73" s="29" t="s">
        <v>220</v>
      </c>
      <c r="C73" s="28">
        <v>3052.76</v>
      </c>
      <c r="D73" s="28">
        <v>7451.22</v>
      </c>
      <c r="E73" s="27">
        <v>-4398.46</v>
      </c>
      <c r="F73" s="28">
        <v>43090.22</v>
      </c>
      <c r="G73" s="28">
        <v>37932.68</v>
      </c>
      <c r="H73" s="28">
        <v>5157.54</v>
      </c>
    </row>
    <row r="74" spans="1:8" x14ac:dyDescent="0.25">
      <c r="A74" s="29" t="s">
        <v>219</v>
      </c>
      <c r="B74" s="29" t="s">
        <v>218</v>
      </c>
      <c r="C74" s="28">
        <v>0</v>
      </c>
      <c r="D74" s="28">
        <v>0</v>
      </c>
      <c r="E74" s="28">
        <v>0</v>
      </c>
      <c r="F74" s="28">
        <v>0</v>
      </c>
      <c r="G74" s="28">
        <v>0</v>
      </c>
      <c r="H74" s="28">
        <v>0</v>
      </c>
    </row>
    <row r="75" spans="1:8" x14ac:dyDescent="0.25">
      <c r="A75" s="29" t="s">
        <v>217</v>
      </c>
      <c r="B75" s="29" t="s">
        <v>104</v>
      </c>
      <c r="C75" s="28">
        <v>3252.01</v>
      </c>
      <c r="D75" s="28">
        <v>3056.73</v>
      </c>
      <c r="E75" s="28">
        <v>195.28</v>
      </c>
      <c r="F75" s="28">
        <v>36766.080000000002</v>
      </c>
      <c r="G75" s="28">
        <v>33188.61</v>
      </c>
      <c r="H75" s="28">
        <v>3577.47</v>
      </c>
    </row>
    <row r="76" spans="1:8" x14ac:dyDescent="0.25">
      <c r="A76" s="29" t="s">
        <v>216</v>
      </c>
      <c r="B76" s="29" t="s">
        <v>104</v>
      </c>
      <c r="C76" s="28">
        <v>0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</row>
    <row r="77" spans="1:8" x14ac:dyDescent="0.25">
      <c r="A77" s="29" t="s">
        <v>215</v>
      </c>
      <c r="B77" s="29" t="s">
        <v>102</v>
      </c>
      <c r="C77" s="28">
        <v>4528.8100000000004</v>
      </c>
      <c r="D77" s="28">
        <v>5837</v>
      </c>
      <c r="E77" s="27">
        <v>-1308.19</v>
      </c>
      <c r="F77" s="28">
        <v>58810.79</v>
      </c>
      <c r="G77" s="28">
        <v>53096.88</v>
      </c>
      <c r="H77" s="28">
        <v>5713.91</v>
      </c>
    </row>
    <row r="78" spans="1:8" x14ac:dyDescent="0.25">
      <c r="A78" s="29" t="s">
        <v>214</v>
      </c>
      <c r="B78" s="29" t="s">
        <v>100</v>
      </c>
      <c r="C78" s="28">
        <v>4839.5</v>
      </c>
      <c r="D78" s="28">
        <v>2775.1</v>
      </c>
      <c r="E78" s="28">
        <v>2064.4</v>
      </c>
      <c r="F78" s="28">
        <v>26555.5</v>
      </c>
      <c r="G78" s="28">
        <v>24975.94</v>
      </c>
      <c r="H78" s="28">
        <v>1579.56</v>
      </c>
    </row>
    <row r="79" spans="1:8" x14ac:dyDescent="0.25">
      <c r="A79" s="29" t="s">
        <v>213</v>
      </c>
      <c r="B79" s="29" t="s">
        <v>92</v>
      </c>
      <c r="C79" s="28">
        <v>0</v>
      </c>
      <c r="D79" s="28">
        <v>11475</v>
      </c>
      <c r="E79" s="27">
        <v>-11475</v>
      </c>
      <c r="F79" s="28">
        <v>17000</v>
      </c>
      <c r="G79" s="28">
        <v>103275</v>
      </c>
      <c r="H79" s="27">
        <v>-86275</v>
      </c>
    </row>
    <row r="80" spans="1:8" x14ac:dyDescent="0.25">
      <c r="A80" s="29"/>
      <c r="B80" s="29" t="s">
        <v>212</v>
      </c>
      <c r="C80" s="28">
        <v>308356.24</v>
      </c>
      <c r="D80" s="28">
        <v>323670.26</v>
      </c>
      <c r="E80" s="27">
        <v>-15314.02</v>
      </c>
      <c r="F80" s="28">
        <v>3310089.74</v>
      </c>
      <c r="G80" s="28">
        <v>3372346.53</v>
      </c>
      <c r="H80" s="27">
        <v>-62256.79</v>
      </c>
    </row>
    <row r="81" spans="1:8" x14ac:dyDescent="0.25">
      <c r="B81" s="29" t="s">
        <v>51</v>
      </c>
    </row>
    <row r="82" spans="1:8" x14ac:dyDescent="0.25">
      <c r="A82" s="29"/>
      <c r="B82" s="29" t="s">
        <v>211</v>
      </c>
      <c r="C82" s="28">
        <v>84607.06</v>
      </c>
      <c r="D82" s="27">
        <v>-59110.26</v>
      </c>
      <c r="E82" s="28">
        <v>143717.32</v>
      </c>
      <c r="F82" s="28">
        <v>1645561.69</v>
      </c>
      <c r="G82" s="28">
        <v>915203.94</v>
      </c>
      <c r="H82" s="28">
        <v>730357.75</v>
      </c>
    </row>
    <row r="83" spans="1:8" x14ac:dyDescent="0.25">
      <c r="B83" s="29" t="s">
        <v>51</v>
      </c>
    </row>
    <row r="84" spans="1:8" x14ac:dyDescent="0.25">
      <c r="B84" s="29" t="s">
        <v>210</v>
      </c>
    </row>
    <row r="85" spans="1:8" x14ac:dyDescent="0.25">
      <c r="A85" s="29" t="s">
        <v>209</v>
      </c>
      <c r="B85" s="29" t="s">
        <v>207</v>
      </c>
      <c r="C85" s="28">
        <v>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</row>
    <row r="86" spans="1:8" x14ac:dyDescent="0.25">
      <c r="A86" s="29" t="s">
        <v>208</v>
      </c>
      <c r="B86" s="29" t="s">
        <v>207</v>
      </c>
      <c r="C86" s="28">
        <v>43677.74</v>
      </c>
      <c r="D86" s="28">
        <v>44534.23</v>
      </c>
      <c r="E86" s="27">
        <v>-856.49</v>
      </c>
      <c r="F86" s="28">
        <v>397001.36</v>
      </c>
      <c r="G86" s="28">
        <v>427778.5</v>
      </c>
      <c r="H86" s="27">
        <v>-30777.14</v>
      </c>
    </row>
    <row r="87" spans="1:8" x14ac:dyDescent="0.25">
      <c r="A87" s="29" t="s">
        <v>206</v>
      </c>
      <c r="B87" s="29" t="s">
        <v>90</v>
      </c>
      <c r="C87" s="28">
        <v>0</v>
      </c>
      <c r="D87" s="28">
        <v>0</v>
      </c>
      <c r="E87" s="28">
        <v>0</v>
      </c>
      <c r="F87" s="28">
        <v>0</v>
      </c>
      <c r="G87" s="28">
        <v>0</v>
      </c>
      <c r="H87" s="28">
        <v>0</v>
      </c>
    </row>
    <row r="88" spans="1:8" x14ac:dyDescent="0.25">
      <c r="A88" s="29" t="s">
        <v>205</v>
      </c>
      <c r="B88" s="29" t="s">
        <v>90</v>
      </c>
      <c r="C88" s="28">
        <v>8135.74</v>
      </c>
      <c r="D88" s="28">
        <v>3274.49</v>
      </c>
      <c r="E88" s="28">
        <v>4861.25</v>
      </c>
      <c r="F88" s="28">
        <v>40156.730000000003</v>
      </c>
      <c r="G88" s="28">
        <v>25133.040000000001</v>
      </c>
      <c r="H88" s="28">
        <v>15023.69</v>
      </c>
    </row>
    <row r="89" spans="1:8" x14ac:dyDescent="0.25">
      <c r="A89" s="29" t="s">
        <v>204</v>
      </c>
      <c r="B89" s="29" t="s">
        <v>154</v>
      </c>
      <c r="C89" s="28">
        <v>0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</row>
    <row r="90" spans="1:8" x14ac:dyDescent="0.25">
      <c r="A90" s="29" t="s">
        <v>203</v>
      </c>
      <c r="B90" s="29" t="s">
        <v>154</v>
      </c>
      <c r="C90" s="28">
        <v>0</v>
      </c>
      <c r="D90" s="28">
        <v>0</v>
      </c>
      <c r="E90" s="28">
        <v>0</v>
      </c>
      <c r="F90" s="28">
        <v>0</v>
      </c>
      <c r="G90" s="28">
        <v>0</v>
      </c>
      <c r="H90" s="28">
        <v>0</v>
      </c>
    </row>
    <row r="91" spans="1:8" x14ac:dyDescent="0.25">
      <c r="A91" s="29" t="s">
        <v>202</v>
      </c>
      <c r="B91" s="29" t="s">
        <v>154</v>
      </c>
      <c r="C91" s="28">
        <v>1298.82</v>
      </c>
      <c r="D91" s="28">
        <v>1550.57</v>
      </c>
      <c r="E91" s="27">
        <v>-251.75</v>
      </c>
      <c r="F91" s="28">
        <v>24850.959999999999</v>
      </c>
      <c r="G91" s="28">
        <v>26074.07</v>
      </c>
      <c r="H91" s="27">
        <v>-1223.1099999999999</v>
      </c>
    </row>
    <row r="92" spans="1:8" x14ac:dyDescent="0.25">
      <c r="A92" s="29" t="s">
        <v>201</v>
      </c>
      <c r="B92" s="29" t="s">
        <v>88</v>
      </c>
      <c r="C92" s="28">
        <v>20636.54</v>
      </c>
      <c r="D92" s="28">
        <v>7674.06</v>
      </c>
      <c r="E92" s="28">
        <v>12962.48</v>
      </c>
      <c r="F92" s="28">
        <v>95899.04</v>
      </c>
      <c r="G92" s="28">
        <v>74732.460000000006</v>
      </c>
      <c r="H92" s="28">
        <v>21166.58</v>
      </c>
    </row>
    <row r="93" spans="1:8" x14ac:dyDescent="0.25">
      <c r="A93" s="29" t="s">
        <v>200</v>
      </c>
      <c r="B93" s="29" t="s">
        <v>88</v>
      </c>
      <c r="C93" s="28">
        <v>0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</row>
    <row r="94" spans="1:8" x14ac:dyDescent="0.25">
      <c r="A94" s="29" t="s">
        <v>199</v>
      </c>
      <c r="B94" s="29" t="s">
        <v>144</v>
      </c>
      <c r="C94" s="28">
        <v>1752.67</v>
      </c>
      <c r="D94" s="28">
        <v>1100.5899999999999</v>
      </c>
      <c r="E94" s="28">
        <v>652.08000000000004</v>
      </c>
      <c r="F94" s="28">
        <v>12667.78</v>
      </c>
      <c r="G94" s="28">
        <v>9617.48</v>
      </c>
      <c r="H94" s="28">
        <v>3050.3</v>
      </c>
    </row>
    <row r="95" spans="1:8" x14ac:dyDescent="0.25">
      <c r="A95" s="29" t="s">
        <v>198</v>
      </c>
      <c r="B95" s="29" t="s">
        <v>144</v>
      </c>
      <c r="C95" s="28">
        <v>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</row>
    <row r="96" spans="1:8" x14ac:dyDescent="0.25">
      <c r="A96" s="29" t="s">
        <v>197</v>
      </c>
      <c r="B96" s="29" t="s">
        <v>195</v>
      </c>
      <c r="C96" s="28">
        <v>0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</row>
    <row r="97" spans="1:8" x14ac:dyDescent="0.25">
      <c r="A97" s="29" t="s">
        <v>196</v>
      </c>
      <c r="B97" s="29" t="s">
        <v>195</v>
      </c>
      <c r="C97" s="28">
        <v>6540</v>
      </c>
      <c r="D97" s="28">
        <v>7068.9</v>
      </c>
      <c r="E97" s="27">
        <v>-528.9</v>
      </c>
      <c r="F97" s="28">
        <v>58244.82</v>
      </c>
      <c r="G97" s="28">
        <v>61285.74</v>
      </c>
      <c r="H97" s="27">
        <v>-3040.92</v>
      </c>
    </row>
    <row r="98" spans="1:8" x14ac:dyDescent="0.25">
      <c r="A98" s="29" t="s">
        <v>194</v>
      </c>
      <c r="B98" s="29" t="s">
        <v>193</v>
      </c>
      <c r="C98" s="28">
        <v>0</v>
      </c>
      <c r="D98" s="28">
        <v>0</v>
      </c>
      <c r="E98" s="28">
        <v>0</v>
      </c>
      <c r="F98" s="28">
        <v>0</v>
      </c>
      <c r="G98" s="28">
        <v>751.79</v>
      </c>
      <c r="H98" s="27">
        <v>-751.79</v>
      </c>
    </row>
    <row r="99" spans="1:8" x14ac:dyDescent="0.25">
      <c r="A99" s="29" t="s">
        <v>192</v>
      </c>
      <c r="B99" s="29" t="s">
        <v>191</v>
      </c>
      <c r="C99" s="28">
        <v>408.75</v>
      </c>
      <c r="D99" s="28">
        <v>408.75</v>
      </c>
      <c r="E99" s="28">
        <v>0</v>
      </c>
      <c r="F99" s="28">
        <v>1552.12</v>
      </c>
      <c r="G99" s="28">
        <v>1969.34</v>
      </c>
      <c r="H99" s="27">
        <v>-417.22</v>
      </c>
    </row>
    <row r="100" spans="1:8" x14ac:dyDescent="0.25">
      <c r="A100" s="29" t="s">
        <v>190</v>
      </c>
      <c r="B100" s="29" t="s">
        <v>189</v>
      </c>
      <c r="C100" s="28">
        <v>0</v>
      </c>
      <c r="D100" s="28">
        <v>0</v>
      </c>
      <c r="E100" s="28">
        <v>0</v>
      </c>
      <c r="F100" s="28">
        <v>0</v>
      </c>
      <c r="G100" s="28">
        <v>0</v>
      </c>
      <c r="H100" s="28">
        <v>0</v>
      </c>
    </row>
    <row r="101" spans="1:8" x14ac:dyDescent="0.25">
      <c r="A101" s="29" t="s">
        <v>188</v>
      </c>
      <c r="B101" s="29" t="s">
        <v>187</v>
      </c>
      <c r="C101" s="28">
        <v>113.1</v>
      </c>
      <c r="D101" s="28">
        <v>5478.11</v>
      </c>
      <c r="E101" s="27">
        <v>-5365.01</v>
      </c>
      <c r="F101" s="28">
        <v>18692.97</v>
      </c>
      <c r="G101" s="28">
        <v>65175.35</v>
      </c>
      <c r="H101" s="27">
        <v>-46482.38</v>
      </c>
    </row>
    <row r="102" spans="1:8" x14ac:dyDescent="0.25">
      <c r="A102" s="29" t="s">
        <v>186</v>
      </c>
      <c r="B102" s="29" t="s">
        <v>185</v>
      </c>
      <c r="C102" s="28">
        <v>0</v>
      </c>
      <c r="D102" s="28">
        <v>0</v>
      </c>
      <c r="E102" s="28">
        <v>0</v>
      </c>
      <c r="F102" s="28">
        <v>5404.64</v>
      </c>
      <c r="G102" s="28">
        <v>5147.2700000000004</v>
      </c>
      <c r="H102" s="28">
        <v>257.37</v>
      </c>
    </row>
    <row r="103" spans="1:8" x14ac:dyDescent="0.25">
      <c r="A103" s="29" t="s">
        <v>184</v>
      </c>
      <c r="B103" s="29" t="s">
        <v>183</v>
      </c>
      <c r="C103" s="28">
        <v>0</v>
      </c>
      <c r="D103" s="28">
        <v>0</v>
      </c>
      <c r="E103" s="28">
        <v>0</v>
      </c>
      <c r="F103" s="28">
        <v>282.2</v>
      </c>
      <c r="G103" s="28">
        <v>60.15</v>
      </c>
      <c r="H103" s="28">
        <v>222.05</v>
      </c>
    </row>
    <row r="104" spans="1:8" x14ac:dyDescent="0.25">
      <c r="A104" s="29" t="s">
        <v>182</v>
      </c>
      <c r="B104" s="29" t="s">
        <v>181</v>
      </c>
      <c r="C104" s="28">
        <v>0</v>
      </c>
      <c r="D104" s="28">
        <v>0</v>
      </c>
      <c r="E104" s="28">
        <v>0</v>
      </c>
      <c r="F104" s="28">
        <v>1000</v>
      </c>
      <c r="G104" s="28">
        <v>0</v>
      </c>
      <c r="H104" s="28">
        <v>1000</v>
      </c>
    </row>
    <row r="105" spans="1:8" x14ac:dyDescent="0.25">
      <c r="A105" s="29" t="s">
        <v>180</v>
      </c>
      <c r="B105" s="29" t="s">
        <v>179</v>
      </c>
      <c r="C105" s="28">
        <v>0</v>
      </c>
      <c r="D105" s="28">
        <v>0</v>
      </c>
      <c r="E105" s="28">
        <v>0</v>
      </c>
      <c r="F105" s="28">
        <v>650</v>
      </c>
      <c r="G105" s="28">
        <v>2765.97</v>
      </c>
      <c r="H105" s="27">
        <v>-2115.9699999999998</v>
      </c>
    </row>
    <row r="106" spans="1:8" x14ac:dyDescent="0.25">
      <c r="A106" s="29" t="s">
        <v>178</v>
      </c>
      <c r="B106" s="29" t="s">
        <v>177</v>
      </c>
      <c r="C106" s="28">
        <v>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</row>
    <row r="107" spans="1:8" x14ac:dyDescent="0.25">
      <c r="A107" s="29" t="s">
        <v>176</v>
      </c>
      <c r="B107" s="29" t="s">
        <v>175</v>
      </c>
      <c r="C107" s="28">
        <v>0</v>
      </c>
      <c r="D107" s="28">
        <v>0</v>
      </c>
      <c r="E107" s="28">
        <v>0</v>
      </c>
      <c r="F107" s="28">
        <v>0</v>
      </c>
      <c r="G107" s="28">
        <v>0</v>
      </c>
      <c r="H107" s="28">
        <v>0</v>
      </c>
    </row>
    <row r="108" spans="1:8" x14ac:dyDescent="0.25">
      <c r="A108" s="29" t="s">
        <v>174</v>
      </c>
      <c r="B108" s="29" t="s">
        <v>173</v>
      </c>
      <c r="C108" s="28">
        <v>0</v>
      </c>
      <c r="D108" s="28">
        <v>0</v>
      </c>
      <c r="E108" s="28">
        <v>0</v>
      </c>
      <c r="F108" s="28">
        <v>0</v>
      </c>
      <c r="G108" s="28">
        <v>3142</v>
      </c>
      <c r="H108" s="27">
        <v>-3142</v>
      </c>
    </row>
    <row r="109" spans="1:8" x14ac:dyDescent="0.25">
      <c r="A109" s="29" t="s">
        <v>172</v>
      </c>
      <c r="B109" s="29" t="s">
        <v>171</v>
      </c>
      <c r="C109" s="28">
        <v>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</row>
    <row r="110" spans="1:8" x14ac:dyDescent="0.25">
      <c r="A110" s="29"/>
      <c r="B110" s="29" t="s">
        <v>170</v>
      </c>
      <c r="C110" s="28">
        <v>82563.360000000001</v>
      </c>
      <c r="D110" s="28">
        <v>71089.7</v>
      </c>
      <c r="E110" s="28">
        <v>11473.66</v>
      </c>
      <c r="F110" s="28">
        <v>656402.62</v>
      </c>
      <c r="G110" s="28">
        <v>703633.16</v>
      </c>
      <c r="H110" s="27">
        <v>-47230.54</v>
      </c>
    </row>
    <row r="111" spans="1:8" x14ac:dyDescent="0.25">
      <c r="B111" s="29" t="s">
        <v>51</v>
      </c>
    </row>
    <row r="112" spans="1:8" x14ac:dyDescent="0.25">
      <c r="B112" s="29" t="s">
        <v>169</v>
      </c>
    </row>
    <row r="113" spans="1:8" x14ac:dyDescent="0.25">
      <c r="A113" s="29" t="s">
        <v>168</v>
      </c>
      <c r="B113" s="29" t="s">
        <v>166</v>
      </c>
      <c r="C113" s="28">
        <v>0</v>
      </c>
      <c r="D113" s="28">
        <v>0</v>
      </c>
      <c r="E113" s="28">
        <v>0</v>
      </c>
      <c r="F113" s="28">
        <v>0</v>
      </c>
      <c r="G113" s="28">
        <v>0</v>
      </c>
      <c r="H113" s="28">
        <v>0</v>
      </c>
    </row>
    <row r="114" spans="1:8" x14ac:dyDescent="0.25">
      <c r="A114" s="29" t="s">
        <v>167</v>
      </c>
      <c r="B114" s="29" t="s">
        <v>166</v>
      </c>
      <c r="C114" s="28">
        <v>0</v>
      </c>
      <c r="D114" s="28">
        <v>8480.7800000000007</v>
      </c>
      <c r="E114" s="27">
        <v>-8480.7800000000007</v>
      </c>
      <c r="F114" s="28">
        <v>0</v>
      </c>
      <c r="G114" s="28">
        <v>82134.75</v>
      </c>
      <c r="H114" s="27">
        <v>-82134.75</v>
      </c>
    </row>
    <row r="115" spans="1:8" x14ac:dyDescent="0.25">
      <c r="A115" s="29" t="s">
        <v>165</v>
      </c>
      <c r="B115" s="29" t="s">
        <v>163</v>
      </c>
      <c r="C115" s="28">
        <v>0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</row>
    <row r="116" spans="1:8" x14ac:dyDescent="0.25">
      <c r="A116" s="29" t="s">
        <v>164</v>
      </c>
      <c r="B116" s="29" t="s">
        <v>163</v>
      </c>
      <c r="C116" s="28">
        <v>41596.21</v>
      </c>
      <c r="D116" s="28">
        <v>31337.21</v>
      </c>
      <c r="E116" s="28">
        <v>10259</v>
      </c>
      <c r="F116" s="28">
        <v>371072.69</v>
      </c>
      <c r="G116" s="28">
        <v>324064.14</v>
      </c>
      <c r="H116" s="28">
        <v>47008.55</v>
      </c>
    </row>
    <row r="117" spans="1:8" x14ac:dyDescent="0.25">
      <c r="A117" s="29" t="s">
        <v>162</v>
      </c>
      <c r="B117" s="29" t="s">
        <v>160</v>
      </c>
      <c r="C117" s="28">
        <v>0</v>
      </c>
      <c r="D117" s="28">
        <v>0</v>
      </c>
      <c r="E117" s="28">
        <v>0</v>
      </c>
      <c r="F117" s="28">
        <v>0</v>
      </c>
      <c r="G117" s="28">
        <v>0</v>
      </c>
      <c r="H117" s="28">
        <v>0</v>
      </c>
    </row>
    <row r="118" spans="1:8" x14ac:dyDescent="0.25">
      <c r="A118" s="29" t="s">
        <v>161</v>
      </c>
      <c r="B118" s="29" t="s">
        <v>160</v>
      </c>
      <c r="C118" s="28">
        <v>20307.71</v>
      </c>
      <c r="D118" s="28">
        <v>19384.63</v>
      </c>
      <c r="E118" s="28">
        <v>923.08</v>
      </c>
      <c r="F118" s="28">
        <v>178846.36</v>
      </c>
      <c r="G118" s="28">
        <v>180923.28</v>
      </c>
      <c r="H118" s="27">
        <v>-2076.92</v>
      </c>
    </row>
    <row r="119" spans="1:8" x14ac:dyDescent="0.25">
      <c r="A119" s="29" t="s">
        <v>159</v>
      </c>
      <c r="B119" s="29" t="s">
        <v>90</v>
      </c>
      <c r="C119" s="28">
        <v>0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</row>
    <row r="120" spans="1:8" x14ac:dyDescent="0.25">
      <c r="A120" s="29" t="s">
        <v>158</v>
      </c>
      <c r="B120" s="29" t="s">
        <v>90</v>
      </c>
      <c r="C120" s="28">
        <v>0</v>
      </c>
      <c r="D120" s="28">
        <v>0</v>
      </c>
      <c r="E120" s="28">
        <v>0</v>
      </c>
      <c r="F120" s="28">
        <v>0</v>
      </c>
      <c r="G120" s="28">
        <v>0</v>
      </c>
      <c r="H120" s="28">
        <v>0</v>
      </c>
    </row>
    <row r="121" spans="1:8" x14ac:dyDescent="0.25">
      <c r="A121" s="29" t="s">
        <v>157</v>
      </c>
      <c r="B121" s="29" t="s">
        <v>90</v>
      </c>
      <c r="C121" s="28">
        <v>0</v>
      </c>
      <c r="D121" s="28">
        <v>0</v>
      </c>
      <c r="E121" s="28">
        <v>0</v>
      </c>
      <c r="F121" s="28">
        <v>0</v>
      </c>
      <c r="G121" s="28">
        <v>0</v>
      </c>
      <c r="H121" s="28">
        <v>0</v>
      </c>
    </row>
    <row r="122" spans="1:8" x14ac:dyDescent="0.25">
      <c r="A122" s="29" t="s">
        <v>156</v>
      </c>
      <c r="B122" s="29" t="s">
        <v>154</v>
      </c>
      <c r="C122" s="28">
        <v>0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</row>
    <row r="123" spans="1:8" x14ac:dyDescent="0.25">
      <c r="A123" s="29" t="s">
        <v>155</v>
      </c>
      <c r="B123" s="29" t="s">
        <v>154</v>
      </c>
      <c r="C123" s="28">
        <v>4844.3500000000004</v>
      </c>
      <c r="D123" s="28">
        <v>4612.18</v>
      </c>
      <c r="E123" s="28">
        <v>232.17</v>
      </c>
      <c r="F123" s="28">
        <v>47294.81</v>
      </c>
      <c r="G123" s="28">
        <v>51893.75</v>
      </c>
      <c r="H123" s="27">
        <v>-4598.9399999999996</v>
      </c>
    </row>
    <row r="124" spans="1:8" x14ac:dyDescent="0.25">
      <c r="A124" s="29" t="s">
        <v>153</v>
      </c>
      <c r="B124" s="29" t="s">
        <v>152</v>
      </c>
      <c r="C124" s="28">
        <v>1582.87</v>
      </c>
      <c r="D124" s="28">
        <v>1515.29</v>
      </c>
      <c r="E124" s="28">
        <v>67.58</v>
      </c>
      <c r="F124" s="28">
        <v>13196.75</v>
      </c>
      <c r="G124" s="28">
        <v>14522.64</v>
      </c>
      <c r="H124" s="27">
        <v>-1325.89</v>
      </c>
    </row>
    <row r="125" spans="1:8" x14ac:dyDescent="0.25">
      <c r="A125" s="29" t="s">
        <v>151</v>
      </c>
      <c r="B125" s="29" t="s">
        <v>150</v>
      </c>
      <c r="C125" s="28">
        <v>0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</row>
    <row r="126" spans="1:8" x14ac:dyDescent="0.25">
      <c r="A126" s="29" t="s">
        <v>149</v>
      </c>
      <c r="B126" s="29" t="s">
        <v>88</v>
      </c>
      <c r="C126" s="28">
        <v>0</v>
      </c>
      <c r="D126" s="28">
        <v>0</v>
      </c>
      <c r="E126" s="28">
        <v>0</v>
      </c>
      <c r="F126" s="28">
        <v>0</v>
      </c>
      <c r="G126" s="28">
        <v>0</v>
      </c>
      <c r="H126" s="28">
        <v>0</v>
      </c>
    </row>
    <row r="127" spans="1:8" x14ac:dyDescent="0.25">
      <c r="A127" s="29" t="s">
        <v>334</v>
      </c>
      <c r="B127" s="29" t="s">
        <v>88</v>
      </c>
      <c r="C127" s="28">
        <v>0</v>
      </c>
      <c r="D127" s="28">
        <v>544.02</v>
      </c>
      <c r="E127" s="27">
        <v>-544.02</v>
      </c>
      <c r="F127" s="28">
        <v>5313.33</v>
      </c>
      <c r="G127" s="28">
        <v>8802.24</v>
      </c>
      <c r="H127" s="27">
        <v>-3488.91</v>
      </c>
    </row>
    <row r="128" spans="1:8" x14ac:dyDescent="0.25">
      <c r="A128" s="29" t="s">
        <v>333</v>
      </c>
      <c r="B128" s="29" t="s">
        <v>88</v>
      </c>
      <c r="C128" s="28">
        <v>0</v>
      </c>
      <c r="D128" s="28">
        <v>0</v>
      </c>
      <c r="E128" s="28">
        <v>0</v>
      </c>
      <c r="F128" s="28">
        <v>0</v>
      </c>
      <c r="G128" s="28">
        <v>0</v>
      </c>
      <c r="H128" s="28">
        <v>0</v>
      </c>
    </row>
    <row r="129" spans="1:8" x14ac:dyDescent="0.25">
      <c r="A129" s="29" t="s">
        <v>331</v>
      </c>
      <c r="B129" s="29" t="s">
        <v>144</v>
      </c>
      <c r="C129" s="28">
        <v>0</v>
      </c>
      <c r="D129" s="28">
        <v>0</v>
      </c>
      <c r="E129" s="28">
        <v>0</v>
      </c>
      <c r="F129" s="28">
        <v>0</v>
      </c>
      <c r="G129" s="28">
        <v>0</v>
      </c>
      <c r="H129" s="28">
        <v>0</v>
      </c>
    </row>
    <row r="130" spans="1:8" x14ac:dyDescent="0.25">
      <c r="A130" s="29" t="s">
        <v>329</v>
      </c>
      <c r="B130" s="29" t="s">
        <v>144</v>
      </c>
      <c r="C130" s="28">
        <v>0</v>
      </c>
      <c r="D130" s="28">
        <v>106.12</v>
      </c>
      <c r="E130" s="27">
        <v>-106.12</v>
      </c>
      <c r="F130" s="28">
        <v>1211.22</v>
      </c>
      <c r="G130" s="28">
        <v>4952.99</v>
      </c>
      <c r="H130" s="27">
        <v>-3741.77</v>
      </c>
    </row>
    <row r="131" spans="1:8" x14ac:dyDescent="0.25">
      <c r="A131" s="29" t="s">
        <v>328</v>
      </c>
      <c r="B131" s="29" t="s">
        <v>142</v>
      </c>
      <c r="C131" s="28">
        <v>0</v>
      </c>
      <c r="D131" s="28">
        <v>0</v>
      </c>
      <c r="E131" s="28">
        <v>0</v>
      </c>
      <c r="F131" s="28">
        <v>9900</v>
      </c>
      <c r="G131" s="28">
        <v>5605</v>
      </c>
      <c r="H131" s="28">
        <v>4295</v>
      </c>
    </row>
    <row r="132" spans="1:8" x14ac:dyDescent="0.25">
      <c r="A132" s="29" t="s">
        <v>327</v>
      </c>
      <c r="B132" s="29" t="s">
        <v>140</v>
      </c>
      <c r="C132" s="28">
        <v>0</v>
      </c>
      <c r="D132" s="27">
        <v>-1929.07</v>
      </c>
      <c r="E132" s="28">
        <v>1929.07</v>
      </c>
      <c r="F132" s="30">
        <v>75621.25</v>
      </c>
      <c r="G132" s="28">
        <v>36350.6</v>
      </c>
      <c r="H132" s="28">
        <v>39270.65</v>
      </c>
    </row>
    <row r="133" spans="1:8" x14ac:dyDescent="0.25">
      <c r="A133" s="29" t="s">
        <v>139</v>
      </c>
      <c r="B133" s="29" t="s">
        <v>138</v>
      </c>
      <c r="C133" s="28">
        <v>10911.51</v>
      </c>
      <c r="D133" s="28">
        <v>21178.12</v>
      </c>
      <c r="E133" s="27">
        <v>-10266.61</v>
      </c>
      <c r="F133" s="30">
        <v>106744.11</v>
      </c>
      <c r="G133" s="28">
        <v>109420.86</v>
      </c>
      <c r="H133" s="27">
        <v>-2676.75</v>
      </c>
    </row>
    <row r="134" spans="1:8" x14ac:dyDescent="0.25">
      <c r="A134" s="29" t="s">
        <v>240</v>
      </c>
      <c r="B134" s="29" t="s">
        <v>136</v>
      </c>
      <c r="C134" s="28">
        <v>0</v>
      </c>
      <c r="D134" s="28">
        <v>0</v>
      </c>
      <c r="E134" s="28">
        <v>0</v>
      </c>
      <c r="F134" s="28">
        <v>0</v>
      </c>
      <c r="G134" s="28">
        <v>0</v>
      </c>
      <c r="H134" s="28">
        <v>0</v>
      </c>
    </row>
    <row r="135" spans="1:8" x14ac:dyDescent="0.25">
      <c r="A135" s="29" t="s">
        <v>135</v>
      </c>
      <c r="B135" s="29" t="s">
        <v>134</v>
      </c>
      <c r="C135" s="28">
        <v>1192.02</v>
      </c>
      <c r="D135" s="28">
        <v>2396.81</v>
      </c>
      <c r="E135" s="27">
        <v>-1204.79</v>
      </c>
      <c r="F135" s="28">
        <v>2179.02</v>
      </c>
      <c r="G135" s="28">
        <v>5659.73</v>
      </c>
      <c r="H135" s="27">
        <v>-3480.71</v>
      </c>
    </row>
    <row r="136" spans="1:8" x14ac:dyDescent="0.25">
      <c r="A136" s="29" t="s">
        <v>133</v>
      </c>
      <c r="B136" s="29" t="s">
        <v>132</v>
      </c>
      <c r="C136" s="28">
        <v>270.48</v>
      </c>
      <c r="D136" s="28">
        <v>365.19</v>
      </c>
      <c r="E136" s="27">
        <v>-94.71</v>
      </c>
      <c r="F136" s="28">
        <v>2434.94</v>
      </c>
      <c r="G136" s="28">
        <v>2921.52</v>
      </c>
      <c r="H136" s="27">
        <v>-486.58</v>
      </c>
    </row>
    <row r="137" spans="1:8" x14ac:dyDescent="0.25">
      <c r="A137" s="29" t="s">
        <v>131</v>
      </c>
      <c r="B137" s="29" t="s">
        <v>129</v>
      </c>
      <c r="C137" s="28">
        <v>0</v>
      </c>
      <c r="D137" s="28">
        <v>0</v>
      </c>
      <c r="E137" s="28">
        <v>0</v>
      </c>
      <c r="F137" s="28">
        <v>0</v>
      </c>
      <c r="G137" s="28">
        <v>0</v>
      </c>
      <c r="H137" s="28">
        <v>0</v>
      </c>
    </row>
    <row r="138" spans="1:8" x14ac:dyDescent="0.25">
      <c r="A138" s="29" t="s">
        <v>131</v>
      </c>
      <c r="B138" s="29" t="s">
        <v>129</v>
      </c>
      <c r="C138" s="28">
        <v>0</v>
      </c>
      <c r="D138" s="28">
        <v>35.97</v>
      </c>
      <c r="E138" s="27">
        <v>-35.97</v>
      </c>
      <c r="F138" s="28">
        <v>35757.42</v>
      </c>
      <c r="G138" s="28">
        <v>10043.57</v>
      </c>
      <c r="H138" s="28">
        <v>25713.85</v>
      </c>
    </row>
    <row r="139" spans="1:8" x14ac:dyDescent="0.25">
      <c r="A139" s="29" t="s">
        <v>128</v>
      </c>
      <c r="B139" s="29" t="s">
        <v>127</v>
      </c>
      <c r="C139" s="28">
        <v>0</v>
      </c>
      <c r="D139" s="28">
        <v>701.43</v>
      </c>
      <c r="E139" s="27">
        <v>-701.43</v>
      </c>
      <c r="F139" s="28">
        <v>5181.49</v>
      </c>
      <c r="G139" s="28">
        <v>5576.8</v>
      </c>
      <c r="H139" s="27">
        <v>-395.31</v>
      </c>
    </row>
    <row r="140" spans="1:8" x14ac:dyDescent="0.25">
      <c r="A140" s="29" t="s">
        <v>126</v>
      </c>
      <c r="B140" s="29" t="s">
        <v>124</v>
      </c>
      <c r="C140" s="28">
        <v>0</v>
      </c>
      <c r="D140" s="28">
        <v>0</v>
      </c>
      <c r="E140" s="28">
        <v>0</v>
      </c>
      <c r="F140" s="28">
        <v>0</v>
      </c>
      <c r="G140" s="28">
        <v>0</v>
      </c>
      <c r="H140" s="28">
        <v>0</v>
      </c>
    </row>
    <row r="141" spans="1:8" x14ac:dyDescent="0.25">
      <c r="A141" s="29" t="s">
        <v>126</v>
      </c>
      <c r="B141" s="29" t="s">
        <v>124</v>
      </c>
      <c r="C141" s="28">
        <v>0</v>
      </c>
      <c r="D141" s="28">
        <v>0</v>
      </c>
      <c r="E141" s="28">
        <v>0</v>
      </c>
      <c r="F141" s="28">
        <v>359</v>
      </c>
      <c r="G141" s="28">
        <v>667.28</v>
      </c>
      <c r="H141" s="27">
        <v>-308.27999999999997</v>
      </c>
    </row>
    <row r="142" spans="1:8" x14ac:dyDescent="0.25">
      <c r="A142" s="29" t="s">
        <v>123</v>
      </c>
      <c r="B142" s="29" t="s">
        <v>121</v>
      </c>
      <c r="C142" s="28">
        <v>0</v>
      </c>
      <c r="D142" s="28">
        <v>0</v>
      </c>
      <c r="E142" s="28">
        <v>0</v>
      </c>
      <c r="F142" s="28">
        <v>0</v>
      </c>
      <c r="G142" s="28">
        <v>0</v>
      </c>
      <c r="H142" s="28">
        <v>0</v>
      </c>
    </row>
    <row r="143" spans="1:8" x14ac:dyDescent="0.25">
      <c r="A143" s="29" t="s">
        <v>123</v>
      </c>
      <c r="B143" s="29" t="s">
        <v>121</v>
      </c>
      <c r="C143" s="28">
        <v>134.06</v>
      </c>
      <c r="D143" s="28">
        <v>1488.79</v>
      </c>
      <c r="E143" s="27">
        <v>-1354.73</v>
      </c>
      <c r="F143" s="30">
        <v>62910.27</v>
      </c>
      <c r="G143" s="28">
        <v>21526.2</v>
      </c>
      <c r="H143" s="28">
        <v>41384.07</v>
      </c>
    </row>
    <row r="144" spans="1:8" x14ac:dyDescent="0.25">
      <c r="A144" s="29" t="s">
        <v>120</v>
      </c>
      <c r="B144" s="29" t="s">
        <v>119</v>
      </c>
      <c r="C144" s="28">
        <v>1442.14</v>
      </c>
      <c r="D144" s="28">
        <v>1111.42</v>
      </c>
      <c r="E144" s="28">
        <v>330.72</v>
      </c>
      <c r="F144" s="28">
        <v>7729.55</v>
      </c>
      <c r="G144" s="28">
        <v>10773.97</v>
      </c>
      <c r="H144" s="27">
        <v>-3044.42</v>
      </c>
    </row>
    <row r="145" spans="1:8" x14ac:dyDescent="0.25">
      <c r="A145" s="29" t="s">
        <v>118</v>
      </c>
      <c r="B145" s="29" t="s">
        <v>116</v>
      </c>
      <c r="C145" s="28">
        <v>0</v>
      </c>
      <c r="D145" s="28">
        <v>0</v>
      </c>
      <c r="E145" s="28">
        <v>0</v>
      </c>
      <c r="F145" s="28">
        <v>0</v>
      </c>
      <c r="G145" s="28">
        <v>0</v>
      </c>
      <c r="H145" s="28">
        <v>0</v>
      </c>
    </row>
    <row r="146" spans="1:8" x14ac:dyDescent="0.25">
      <c r="A146" s="29" t="s">
        <v>118</v>
      </c>
      <c r="B146" s="29" t="s">
        <v>116</v>
      </c>
      <c r="C146" s="28">
        <v>520.23</v>
      </c>
      <c r="D146" s="28">
        <v>504.16</v>
      </c>
      <c r="E146" s="28">
        <v>16.07</v>
      </c>
      <c r="F146" s="28">
        <v>5301.36</v>
      </c>
      <c r="G146" s="28">
        <v>6735.45</v>
      </c>
      <c r="H146" s="27">
        <v>-1434.09</v>
      </c>
    </row>
    <row r="147" spans="1:8" x14ac:dyDescent="0.25">
      <c r="A147" s="29" t="s">
        <v>115</v>
      </c>
      <c r="B147" s="29" t="s">
        <v>113</v>
      </c>
      <c r="C147" s="28">
        <v>0</v>
      </c>
      <c r="D147" s="28">
        <v>0</v>
      </c>
      <c r="E147" s="28">
        <v>0</v>
      </c>
      <c r="F147" s="28">
        <v>0</v>
      </c>
      <c r="G147" s="28">
        <v>0</v>
      </c>
      <c r="H147" s="28">
        <v>0</v>
      </c>
    </row>
    <row r="148" spans="1:8" x14ac:dyDescent="0.25">
      <c r="A148" s="29" t="s">
        <v>115</v>
      </c>
      <c r="B148" s="29" t="s">
        <v>113</v>
      </c>
      <c r="C148" s="28">
        <v>300</v>
      </c>
      <c r="D148" s="28">
        <v>300</v>
      </c>
      <c r="E148" s="28">
        <v>0</v>
      </c>
      <c r="F148" s="28">
        <v>2300</v>
      </c>
      <c r="G148" s="28">
        <v>550</v>
      </c>
      <c r="H148" s="28">
        <v>1750</v>
      </c>
    </row>
    <row r="149" spans="1:8" x14ac:dyDescent="0.25">
      <c r="A149" s="29" t="s">
        <v>112</v>
      </c>
      <c r="B149" s="29" t="s">
        <v>111</v>
      </c>
      <c r="C149" s="28">
        <v>332.4</v>
      </c>
      <c r="D149" s="28">
        <v>440.35</v>
      </c>
      <c r="E149" s="27">
        <v>-107.95</v>
      </c>
      <c r="F149" s="28">
        <v>2777.42</v>
      </c>
      <c r="G149" s="28">
        <v>17249.28</v>
      </c>
      <c r="H149" s="27">
        <v>-14471.86</v>
      </c>
    </row>
    <row r="150" spans="1:8" x14ac:dyDescent="0.25">
      <c r="A150" s="29" t="s">
        <v>110</v>
      </c>
      <c r="B150" s="29" t="s">
        <v>109</v>
      </c>
      <c r="C150" s="28">
        <v>1371.51</v>
      </c>
      <c r="D150" s="28">
        <v>574.35</v>
      </c>
      <c r="E150" s="28">
        <v>797.16</v>
      </c>
      <c r="F150" s="28">
        <v>8844.5</v>
      </c>
      <c r="G150" s="28">
        <v>10694.56</v>
      </c>
      <c r="H150" s="27">
        <v>-1850.06</v>
      </c>
    </row>
    <row r="151" spans="1:8" x14ac:dyDescent="0.25">
      <c r="A151" s="29" t="s">
        <v>108</v>
      </c>
      <c r="B151" s="29" t="s">
        <v>106</v>
      </c>
      <c r="C151" s="28">
        <v>0</v>
      </c>
      <c r="D151" s="28">
        <v>0</v>
      </c>
      <c r="E151" s="28">
        <v>0</v>
      </c>
      <c r="F151" s="28">
        <v>0</v>
      </c>
      <c r="G151" s="28">
        <v>0</v>
      </c>
      <c r="H151" s="28">
        <v>0</v>
      </c>
    </row>
    <row r="152" spans="1:8" x14ac:dyDescent="0.25">
      <c r="A152" s="29" t="s">
        <v>108</v>
      </c>
      <c r="B152" s="29" t="s">
        <v>106</v>
      </c>
      <c r="C152" s="28">
        <v>130</v>
      </c>
      <c r="D152" s="28">
        <v>5</v>
      </c>
      <c r="E152" s="28">
        <v>125</v>
      </c>
      <c r="F152" s="28">
        <v>624.46</v>
      </c>
      <c r="G152" s="28">
        <v>296.48</v>
      </c>
      <c r="H152" s="28">
        <v>327.98</v>
      </c>
    </row>
    <row r="153" spans="1:8" x14ac:dyDescent="0.25">
      <c r="A153" s="29" t="s">
        <v>217</v>
      </c>
      <c r="B153" s="29" t="s">
        <v>104</v>
      </c>
      <c r="C153" s="28">
        <v>573.89</v>
      </c>
      <c r="D153" s="28">
        <v>539.41999999999996</v>
      </c>
      <c r="E153" s="28">
        <v>34.47</v>
      </c>
      <c r="F153" s="28">
        <v>6488.14</v>
      </c>
      <c r="G153" s="28">
        <v>5856.85</v>
      </c>
      <c r="H153" s="28">
        <v>631.29</v>
      </c>
    </row>
    <row r="154" spans="1:8" x14ac:dyDescent="0.25">
      <c r="A154" s="29" t="s">
        <v>215</v>
      </c>
      <c r="B154" s="29" t="s">
        <v>102</v>
      </c>
      <c r="C154" s="28">
        <v>4863.2700000000004</v>
      </c>
      <c r="D154" s="28">
        <v>704.6</v>
      </c>
      <c r="E154" s="28">
        <v>4158.67</v>
      </c>
      <c r="F154" s="28">
        <v>23863.59</v>
      </c>
      <c r="G154" s="28">
        <v>11000.21</v>
      </c>
      <c r="H154" s="28">
        <v>12863.38</v>
      </c>
    </row>
    <row r="155" spans="1:8" x14ac:dyDescent="0.25">
      <c r="A155" s="29" t="s">
        <v>214</v>
      </c>
      <c r="B155" s="29" t="s">
        <v>100</v>
      </c>
      <c r="C155" s="28">
        <v>479</v>
      </c>
      <c r="D155" s="28">
        <v>489.73</v>
      </c>
      <c r="E155" s="27">
        <v>-10.73</v>
      </c>
      <c r="F155" s="28">
        <v>4311</v>
      </c>
      <c r="G155" s="28">
        <v>4407.53</v>
      </c>
      <c r="H155" s="27">
        <v>-96.53</v>
      </c>
    </row>
    <row r="156" spans="1:8" x14ac:dyDescent="0.25">
      <c r="A156" s="29" t="s">
        <v>99</v>
      </c>
      <c r="B156" s="29" t="s">
        <v>98</v>
      </c>
      <c r="C156" s="28">
        <v>0</v>
      </c>
      <c r="D156" s="28">
        <v>0</v>
      </c>
      <c r="E156" s="28">
        <v>0</v>
      </c>
      <c r="F156" s="28">
        <v>0</v>
      </c>
      <c r="G156" s="28">
        <v>0</v>
      </c>
      <c r="H156" s="28">
        <v>0</v>
      </c>
    </row>
    <row r="157" spans="1:8" x14ac:dyDescent="0.25">
      <c r="A157" s="29" t="s">
        <v>97</v>
      </c>
      <c r="B157" s="29" t="s">
        <v>96</v>
      </c>
      <c r="C157" s="28">
        <v>0</v>
      </c>
      <c r="D157" s="28">
        <v>0</v>
      </c>
      <c r="E157" s="28">
        <v>0</v>
      </c>
      <c r="F157" s="28">
        <v>5145</v>
      </c>
      <c r="G157" s="28">
        <v>5405</v>
      </c>
      <c r="H157" s="27">
        <v>-260</v>
      </c>
    </row>
    <row r="158" spans="1:8" x14ac:dyDescent="0.25">
      <c r="A158" s="29" t="s">
        <v>95</v>
      </c>
      <c r="B158" s="29" t="s">
        <v>94</v>
      </c>
      <c r="C158" s="28">
        <v>265.27</v>
      </c>
      <c r="D158" s="28">
        <v>0</v>
      </c>
      <c r="E158" s="28">
        <v>265.27</v>
      </c>
      <c r="F158" s="28">
        <v>2393.0300000000002</v>
      </c>
      <c r="G158" s="28">
        <v>0</v>
      </c>
      <c r="H158" s="28">
        <v>2393.0300000000002</v>
      </c>
    </row>
    <row r="159" spans="1:8" x14ac:dyDescent="0.25">
      <c r="A159" s="29" t="s">
        <v>213</v>
      </c>
      <c r="B159" s="29" t="s">
        <v>92</v>
      </c>
      <c r="C159" s="28">
        <v>375</v>
      </c>
      <c r="D159" s="28">
        <v>2025</v>
      </c>
      <c r="E159" s="27">
        <v>-1650</v>
      </c>
      <c r="F159" s="28">
        <v>3375</v>
      </c>
      <c r="G159" s="28">
        <v>18225</v>
      </c>
      <c r="H159" s="27">
        <v>-14850</v>
      </c>
    </row>
    <row r="160" spans="1:8" x14ac:dyDescent="0.25">
      <c r="A160" s="29" t="s">
        <v>273</v>
      </c>
      <c r="B160" s="29" t="s">
        <v>90</v>
      </c>
      <c r="C160" s="28">
        <v>0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</row>
    <row r="161" spans="1:8" x14ac:dyDescent="0.25">
      <c r="A161" s="29" t="s">
        <v>201</v>
      </c>
      <c r="B161" s="29" t="s">
        <v>88</v>
      </c>
      <c r="C161" s="28">
        <v>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</row>
    <row r="162" spans="1:8" x14ac:dyDescent="0.25">
      <c r="A162" s="29" t="e">
        <v>#N/A</v>
      </c>
      <c r="B162" s="29" t="s">
        <v>87</v>
      </c>
      <c r="C162" s="28">
        <v>91491.92</v>
      </c>
      <c r="D162" s="28">
        <v>96911.5</v>
      </c>
      <c r="E162" s="27">
        <v>-5419.58</v>
      </c>
      <c r="F162" s="28">
        <v>991175.71</v>
      </c>
      <c r="G162" s="28">
        <v>956259.68</v>
      </c>
      <c r="H162" s="28">
        <v>34916.03</v>
      </c>
    </row>
    <row r="163" spans="1:8" x14ac:dyDescent="0.25">
      <c r="A163" s="29" t="e">
        <v>#N/A</v>
      </c>
      <c r="B163" s="29" t="s">
        <v>51</v>
      </c>
    </row>
    <row r="164" spans="1:8" x14ac:dyDescent="0.25">
      <c r="A164" s="29" t="e">
        <v>#N/A</v>
      </c>
      <c r="B164" s="29" t="s">
        <v>86</v>
      </c>
    </row>
    <row r="165" spans="1:8" x14ac:dyDescent="0.25">
      <c r="A165" s="29" t="s">
        <v>85</v>
      </c>
      <c r="B165" s="29" t="s">
        <v>84</v>
      </c>
      <c r="C165" s="27">
        <v>-259.85000000000002</v>
      </c>
      <c r="D165" s="27">
        <v>-28.6</v>
      </c>
      <c r="E165" s="27">
        <v>-231.25</v>
      </c>
      <c r="F165" s="27">
        <v>-810.24</v>
      </c>
      <c r="G165" s="27">
        <v>-374.29</v>
      </c>
      <c r="H165" s="27">
        <v>-435.95</v>
      </c>
    </row>
    <row r="166" spans="1:8" x14ac:dyDescent="0.25">
      <c r="A166" s="29" t="s">
        <v>83</v>
      </c>
      <c r="B166" s="29" t="s">
        <v>82</v>
      </c>
      <c r="C166" s="28">
        <v>1096.5999999999999</v>
      </c>
      <c r="D166" s="28">
        <v>531.32000000000005</v>
      </c>
      <c r="E166" s="28">
        <v>565.28</v>
      </c>
      <c r="F166" s="28">
        <v>4141.4799999999996</v>
      </c>
      <c r="G166" s="28">
        <v>6144.47</v>
      </c>
      <c r="H166" s="27">
        <v>-2002.99</v>
      </c>
    </row>
    <row r="167" spans="1:8" x14ac:dyDescent="0.25">
      <c r="A167" s="29" t="s">
        <v>81</v>
      </c>
      <c r="B167" s="29" t="s">
        <v>80</v>
      </c>
      <c r="C167" s="28">
        <v>0.02</v>
      </c>
      <c r="D167" s="28">
        <v>0.11</v>
      </c>
      <c r="E167" s="27">
        <v>-0.09</v>
      </c>
      <c r="F167" s="28">
        <v>227.25</v>
      </c>
      <c r="G167" s="28">
        <v>1.32</v>
      </c>
      <c r="H167" s="28">
        <v>225.93</v>
      </c>
    </row>
    <row r="168" spans="1:8" x14ac:dyDescent="0.25">
      <c r="A168" s="29" t="s">
        <v>79</v>
      </c>
      <c r="B168" s="29" t="s">
        <v>78</v>
      </c>
      <c r="C168" s="27">
        <v>-724.46</v>
      </c>
      <c r="D168" s="27">
        <v>-371.21</v>
      </c>
      <c r="E168" s="27">
        <v>-353.25</v>
      </c>
      <c r="F168" s="27">
        <v>-9986.25</v>
      </c>
      <c r="G168" s="27">
        <v>-5173.68</v>
      </c>
      <c r="H168" s="27">
        <v>-4812.57</v>
      </c>
    </row>
    <row r="169" spans="1:8" x14ac:dyDescent="0.25">
      <c r="A169" s="29" t="s">
        <v>77</v>
      </c>
      <c r="B169" s="29" t="s">
        <v>76</v>
      </c>
      <c r="C169" s="28">
        <v>7147.64</v>
      </c>
      <c r="D169" s="28">
        <v>3661.41</v>
      </c>
      <c r="E169" s="28">
        <v>3486.23</v>
      </c>
      <c r="F169" s="28">
        <v>41956.47</v>
      </c>
      <c r="G169" s="28">
        <v>11859.01</v>
      </c>
      <c r="H169" s="28">
        <v>30097.46</v>
      </c>
    </row>
    <row r="170" spans="1:8" x14ac:dyDescent="0.25">
      <c r="A170" s="29" t="s">
        <v>75</v>
      </c>
      <c r="B170" s="29" t="s">
        <v>74</v>
      </c>
      <c r="C170" s="28">
        <v>0</v>
      </c>
      <c r="D170" s="28">
        <v>0</v>
      </c>
      <c r="E170" s="28">
        <v>0</v>
      </c>
      <c r="F170" s="28">
        <v>0</v>
      </c>
      <c r="G170" s="28">
        <v>0</v>
      </c>
      <c r="H170" s="28">
        <v>0</v>
      </c>
    </row>
    <row r="171" spans="1:8" x14ac:dyDescent="0.25">
      <c r="A171" s="29" t="s">
        <v>73</v>
      </c>
      <c r="B171" s="29" t="s">
        <v>72</v>
      </c>
      <c r="C171" s="28">
        <v>0</v>
      </c>
      <c r="D171" s="28">
        <v>0</v>
      </c>
      <c r="E171" s="28">
        <v>0</v>
      </c>
      <c r="F171" s="28">
        <v>88475.08</v>
      </c>
      <c r="G171" s="28">
        <v>0</v>
      </c>
      <c r="H171" s="28">
        <v>88475.08</v>
      </c>
    </row>
    <row r="172" spans="1:8" x14ac:dyDescent="0.25">
      <c r="A172" s="29" t="s">
        <v>71</v>
      </c>
      <c r="B172" s="29" t="s">
        <v>70</v>
      </c>
      <c r="C172" s="28">
        <v>0</v>
      </c>
      <c r="D172" s="28">
        <v>0</v>
      </c>
      <c r="E172" s="28">
        <v>0</v>
      </c>
      <c r="F172" s="28">
        <v>0</v>
      </c>
      <c r="G172" s="28">
        <v>0</v>
      </c>
      <c r="H172" s="28">
        <v>0</v>
      </c>
    </row>
    <row r="173" spans="1:8" x14ac:dyDescent="0.25">
      <c r="A173" s="29" t="s">
        <v>69</v>
      </c>
      <c r="B173" s="29" t="s">
        <v>68</v>
      </c>
      <c r="C173" s="28">
        <v>0</v>
      </c>
      <c r="D173" s="28">
        <v>0</v>
      </c>
      <c r="E173" s="28">
        <v>0</v>
      </c>
      <c r="F173" s="28">
        <v>0</v>
      </c>
      <c r="G173" s="28">
        <v>0</v>
      </c>
      <c r="H173" s="28">
        <v>0</v>
      </c>
    </row>
    <row r="174" spans="1:8" x14ac:dyDescent="0.25">
      <c r="A174" s="29" t="s">
        <v>67</v>
      </c>
      <c r="B174" s="29" t="s">
        <v>66</v>
      </c>
      <c r="C174" s="28">
        <v>0</v>
      </c>
      <c r="D174" s="28">
        <v>0</v>
      </c>
      <c r="E174" s="28">
        <v>0</v>
      </c>
      <c r="F174" s="28">
        <v>0</v>
      </c>
      <c r="G174" s="28">
        <v>0</v>
      </c>
      <c r="H174" s="28">
        <v>0</v>
      </c>
    </row>
    <row r="175" spans="1:8" x14ac:dyDescent="0.25">
      <c r="A175" s="29" t="s">
        <v>65</v>
      </c>
      <c r="B175" s="29" t="s">
        <v>64</v>
      </c>
      <c r="C175" s="28">
        <v>0</v>
      </c>
      <c r="D175" s="28">
        <v>0</v>
      </c>
      <c r="E175" s="28">
        <v>0</v>
      </c>
      <c r="F175" s="28">
        <v>0</v>
      </c>
      <c r="G175" s="28">
        <v>0</v>
      </c>
      <c r="H175" s="28">
        <v>0</v>
      </c>
    </row>
    <row r="176" spans="1:8" x14ac:dyDescent="0.25">
      <c r="A176" s="29" t="s">
        <v>63</v>
      </c>
      <c r="B176" s="29" t="s">
        <v>62</v>
      </c>
      <c r="C176" s="28">
        <v>0</v>
      </c>
      <c r="D176" s="28">
        <v>0</v>
      </c>
      <c r="E176" s="28">
        <v>0</v>
      </c>
      <c r="F176" s="28">
        <v>0</v>
      </c>
      <c r="G176" s="28">
        <v>0</v>
      </c>
      <c r="H176" s="28">
        <v>0</v>
      </c>
    </row>
    <row r="177" spans="1:8" x14ac:dyDescent="0.25">
      <c r="A177" s="29" t="e">
        <v>#N/A</v>
      </c>
      <c r="B177" s="29" t="s">
        <v>61</v>
      </c>
      <c r="C177" s="28">
        <v>7259.95</v>
      </c>
      <c r="D177" s="28">
        <v>3793.03</v>
      </c>
      <c r="E177" s="28">
        <v>3466.92</v>
      </c>
      <c r="F177" s="28">
        <v>124003.79</v>
      </c>
      <c r="G177" s="28">
        <v>12456.83</v>
      </c>
      <c r="H177" s="28">
        <v>111546.96</v>
      </c>
    </row>
    <row r="178" spans="1:8" x14ac:dyDescent="0.25">
      <c r="A178" s="29" t="e">
        <v>#N/A</v>
      </c>
      <c r="B178" s="29" t="s">
        <v>51</v>
      </c>
    </row>
    <row r="179" spans="1:8" x14ac:dyDescent="0.25">
      <c r="A179" s="29" t="e">
        <v>#N/A</v>
      </c>
      <c r="B179" s="29" t="s">
        <v>60</v>
      </c>
      <c r="C179" s="27">
        <v>-82188.27</v>
      </c>
      <c r="D179" s="27">
        <v>-223318.43</v>
      </c>
      <c r="E179" s="28">
        <v>141130.16</v>
      </c>
      <c r="F179" s="28">
        <v>121987.15</v>
      </c>
      <c r="G179" s="27">
        <v>-732232.07</v>
      </c>
      <c r="H179" s="28">
        <v>854219.22</v>
      </c>
    </row>
    <row r="180" spans="1:8" x14ac:dyDescent="0.25">
      <c r="A180" s="29" t="e">
        <v>#N/A</v>
      </c>
      <c r="B180" s="29" t="s">
        <v>51</v>
      </c>
    </row>
    <row r="181" spans="1:8" x14ac:dyDescent="0.25">
      <c r="A181" s="29" t="e">
        <v>#N/A</v>
      </c>
      <c r="B181" s="29" t="s">
        <v>59</v>
      </c>
    </row>
    <row r="182" spans="1:8" x14ac:dyDescent="0.25">
      <c r="A182" s="29" t="s">
        <v>58</v>
      </c>
      <c r="B182" s="29" t="s">
        <v>57</v>
      </c>
      <c r="C182" s="28">
        <v>0</v>
      </c>
      <c r="D182" s="28">
        <v>0</v>
      </c>
      <c r="E182" s="28">
        <v>0</v>
      </c>
      <c r="F182" s="28">
        <v>0</v>
      </c>
      <c r="G182" s="28">
        <v>0</v>
      </c>
      <c r="H182" s="28">
        <v>0</v>
      </c>
    </row>
    <row r="183" spans="1:8" x14ac:dyDescent="0.25">
      <c r="A183" s="29" t="s">
        <v>56</v>
      </c>
      <c r="B183" s="29" t="s">
        <v>55</v>
      </c>
      <c r="C183" s="28">
        <v>0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</row>
    <row r="184" spans="1:8" x14ac:dyDescent="0.25">
      <c r="A184" s="29" t="s">
        <v>54</v>
      </c>
      <c r="B184" s="29" t="s">
        <v>53</v>
      </c>
      <c r="C184" s="28">
        <v>0</v>
      </c>
      <c r="D184" s="28">
        <v>20000</v>
      </c>
      <c r="E184" s="27">
        <v>-20000</v>
      </c>
      <c r="F184" s="28">
        <v>0</v>
      </c>
      <c r="G184" s="28">
        <v>73955.63</v>
      </c>
      <c r="H184" s="27">
        <v>-73955.63</v>
      </c>
    </row>
    <row r="185" spans="1:8" x14ac:dyDescent="0.25">
      <c r="A185" s="29" t="e">
        <v>#N/A</v>
      </c>
      <c r="B185" s="29" t="s">
        <v>52</v>
      </c>
      <c r="C185" s="28">
        <v>0</v>
      </c>
      <c r="D185" s="28">
        <v>20000</v>
      </c>
      <c r="E185" s="27">
        <v>-20000</v>
      </c>
      <c r="F185" s="28">
        <v>0</v>
      </c>
      <c r="G185" s="28">
        <v>73955.63</v>
      </c>
      <c r="H185" s="27">
        <v>-73955.63</v>
      </c>
    </row>
    <row r="186" spans="1:8" x14ac:dyDescent="0.25">
      <c r="A186" s="29" t="e">
        <v>#N/A</v>
      </c>
      <c r="B186" s="29" t="s">
        <v>51</v>
      </c>
    </row>
    <row r="187" spans="1:8" x14ac:dyDescent="0.25">
      <c r="A187" s="29" t="e">
        <v>#N/A</v>
      </c>
      <c r="B187" s="29" t="s">
        <v>50</v>
      </c>
      <c r="C187" s="27">
        <v>-82188.27</v>
      </c>
      <c r="D187" s="27">
        <v>-243318.43</v>
      </c>
      <c r="E187" s="28">
        <v>161130.16</v>
      </c>
      <c r="F187" s="28">
        <v>121987.15</v>
      </c>
      <c r="G187" s="27">
        <v>-806187.7</v>
      </c>
      <c r="H187" s="28">
        <v>928174.85</v>
      </c>
    </row>
    <row r="188" spans="1:8" x14ac:dyDescent="0.25">
      <c r="A188" s="29" t="s">
        <v>237</v>
      </c>
    </row>
    <row r="189" spans="1:8" x14ac:dyDescent="0.25">
      <c r="A189" s="29" t="s">
        <v>235</v>
      </c>
    </row>
    <row r="190" spans="1:8" x14ac:dyDescent="0.25">
      <c r="A190" s="29" t="s">
        <v>233</v>
      </c>
    </row>
    <row r="191" spans="1:8" x14ac:dyDescent="0.25">
      <c r="A191" s="29" t="s">
        <v>231</v>
      </c>
    </row>
    <row r="192" spans="1:8" x14ac:dyDescent="0.25">
      <c r="A192" s="29" t="s">
        <v>229</v>
      </c>
    </row>
    <row r="193" spans="1:1" x14ac:dyDescent="0.25">
      <c r="A193" s="29" t="s">
        <v>227</v>
      </c>
    </row>
    <row r="194" spans="1:1" x14ac:dyDescent="0.25">
      <c r="A194" s="29" t="s">
        <v>225</v>
      </c>
    </row>
    <row r="195" spans="1:1" x14ac:dyDescent="0.25">
      <c r="A195" s="29" t="s">
        <v>223</v>
      </c>
    </row>
    <row r="196" spans="1:1" x14ac:dyDescent="0.25">
      <c r="A196" s="29" t="s">
        <v>221</v>
      </c>
    </row>
    <row r="197" spans="1:1" x14ac:dyDescent="0.25">
      <c r="A197" s="29" t="s">
        <v>219</v>
      </c>
    </row>
    <row r="198" spans="1:1" x14ac:dyDescent="0.25">
      <c r="A198" s="29" t="s">
        <v>217</v>
      </c>
    </row>
    <row r="199" spans="1:1" x14ac:dyDescent="0.25">
      <c r="A199" s="29" t="s">
        <v>216</v>
      </c>
    </row>
    <row r="200" spans="1:1" x14ac:dyDescent="0.25">
      <c r="A200" s="29" t="s">
        <v>215</v>
      </c>
    </row>
    <row r="201" spans="1:1" x14ac:dyDescent="0.25">
      <c r="A201" s="29" t="s">
        <v>214</v>
      </c>
    </row>
    <row r="202" spans="1:1" x14ac:dyDescent="0.25">
      <c r="A202" s="29" t="s">
        <v>213</v>
      </c>
    </row>
    <row r="203" spans="1:1" x14ac:dyDescent="0.25">
      <c r="A203" s="29"/>
    </row>
    <row r="205" spans="1:1" x14ac:dyDescent="0.25">
      <c r="A205" s="29"/>
    </row>
    <row r="208" spans="1:1" x14ac:dyDescent="0.25">
      <c r="A208" s="29" t="s">
        <v>209</v>
      </c>
    </row>
    <row r="209" spans="1:1" x14ac:dyDescent="0.25">
      <c r="A209" s="29" t="s">
        <v>208</v>
      </c>
    </row>
    <row r="210" spans="1:1" x14ac:dyDescent="0.25">
      <c r="A210" s="29" t="s">
        <v>206</v>
      </c>
    </row>
    <row r="211" spans="1:1" x14ac:dyDescent="0.25">
      <c r="A211" s="29" t="s">
        <v>205</v>
      </c>
    </row>
    <row r="212" spans="1:1" x14ac:dyDescent="0.25">
      <c r="A212" s="29" t="s">
        <v>204</v>
      </c>
    </row>
    <row r="213" spans="1:1" x14ac:dyDescent="0.25">
      <c r="A213" s="29" t="s">
        <v>203</v>
      </c>
    </row>
    <row r="214" spans="1:1" x14ac:dyDescent="0.25">
      <c r="A214" s="29" t="s">
        <v>202</v>
      </c>
    </row>
    <row r="215" spans="1:1" x14ac:dyDescent="0.25">
      <c r="A215" s="29" t="s">
        <v>201</v>
      </c>
    </row>
    <row r="216" spans="1:1" x14ac:dyDescent="0.25">
      <c r="A216" s="29" t="s">
        <v>200</v>
      </c>
    </row>
    <row r="217" spans="1:1" x14ac:dyDescent="0.25">
      <c r="A217" s="29" t="s">
        <v>199</v>
      </c>
    </row>
    <row r="218" spans="1:1" x14ac:dyDescent="0.25">
      <c r="A218" s="29" t="s">
        <v>198</v>
      </c>
    </row>
    <row r="219" spans="1:1" x14ac:dyDescent="0.25">
      <c r="A219" s="29" t="s">
        <v>197</v>
      </c>
    </row>
    <row r="220" spans="1:1" x14ac:dyDescent="0.25">
      <c r="A220" s="29" t="s">
        <v>196</v>
      </c>
    </row>
    <row r="221" spans="1:1" x14ac:dyDescent="0.25">
      <c r="A221" s="29" t="s">
        <v>194</v>
      </c>
    </row>
    <row r="222" spans="1:1" x14ac:dyDescent="0.25">
      <c r="A222" s="29" t="s">
        <v>192</v>
      </c>
    </row>
    <row r="223" spans="1:1" x14ac:dyDescent="0.25">
      <c r="A223" s="29" t="s">
        <v>190</v>
      </c>
    </row>
    <row r="224" spans="1:1" x14ac:dyDescent="0.25">
      <c r="A224" s="29" t="s">
        <v>188</v>
      </c>
    </row>
    <row r="225" spans="1:1" x14ac:dyDescent="0.25">
      <c r="A225" s="29" t="s">
        <v>186</v>
      </c>
    </row>
    <row r="226" spans="1:1" x14ac:dyDescent="0.25">
      <c r="A226" s="29" t="s">
        <v>184</v>
      </c>
    </row>
    <row r="227" spans="1:1" x14ac:dyDescent="0.25">
      <c r="A227" s="29" t="s">
        <v>182</v>
      </c>
    </row>
    <row r="228" spans="1:1" x14ac:dyDescent="0.25">
      <c r="A228" s="29" t="s">
        <v>180</v>
      </c>
    </row>
    <row r="229" spans="1:1" x14ac:dyDescent="0.25">
      <c r="A229" s="29" t="s">
        <v>178</v>
      </c>
    </row>
    <row r="230" spans="1:1" x14ac:dyDescent="0.25">
      <c r="A230" s="29" t="s">
        <v>176</v>
      </c>
    </row>
    <row r="231" spans="1:1" x14ac:dyDescent="0.25">
      <c r="A231" s="29" t="s">
        <v>174</v>
      </c>
    </row>
    <row r="232" spans="1:1" x14ac:dyDescent="0.25">
      <c r="A232" s="29" t="s">
        <v>172</v>
      </c>
    </row>
    <row r="233" spans="1:1" x14ac:dyDescent="0.25">
      <c r="A233" s="29"/>
    </row>
    <row r="236" spans="1:1" x14ac:dyDescent="0.25">
      <c r="A236" s="29" t="s">
        <v>168</v>
      </c>
    </row>
    <row r="237" spans="1:1" x14ac:dyDescent="0.25">
      <c r="A237" s="29" t="s">
        <v>167</v>
      </c>
    </row>
    <row r="238" spans="1:1" x14ac:dyDescent="0.25">
      <c r="A238" s="29" t="s">
        <v>165</v>
      </c>
    </row>
    <row r="239" spans="1:1" x14ac:dyDescent="0.25">
      <c r="A239" s="29" t="s">
        <v>164</v>
      </c>
    </row>
    <row r="240" spans="1:1" x14ac:dyDescent="0.25">
      <c r="A240" s="29" t="s">
        <v>162</v>
      </c>
    </row>
    <row r="241" spans="1:1" x14ac:dyDescent="0.25">
      <c r="A241" s="29" t="s">
        <v>161</v>
      </c>
    </row>
    <row r="242" spans="1:1" x14ac:dyDescent="0.25">
      <c r="A242" s="29" t="s">
        <v>159</v>
      </c>
    </row>
    <row r="243" spans="1:1" x14ac:dyDescent="0.25">
      <c r="A243" s="29" t="s">
        <v>158</v>
      </c>
    </row>
    <row r="244" spans="1:1" x14ac:dyDescent="0.25">
      <c r="A244" s="29" t="s">
        <v>157</v>
      </c>
    </row>
    <row r="245" spans="1:1" x14ac:dyDescent="0.25">
      <c r="A245" s="29" t="s">
        <v>156</v>
      </c>
    </row>
    <row r="246" spans="1:1" x14ac:dyDescent="0.25">
      <c r="A246" s="29" t="s">
        <v>155</v>
      </c>
    </row>
    <row r="247" spans="1:1" x14ac:dyDescent="0.25">
      <c r="A247" s="29" t="s">
        <v>153</v>
      </c>
    </row>
    <row r="248" spans="1:1" x14ac:dyDescent="0.25">
      <c r="A248" s="29" t="s">
        <v>151</v>
      </c>
    </row>
    <row r="249" spans="1:1" x14ac:dyDescent="0.25">
      <c r="A249" s="29" t="s">
        <v>149</v>
      </c>
    </row>
    <row r="250" spans="1:1" x14ac:dyDescent="0.25">
      <c r="A250" s="29" t="s">
        <v>148</v>
      </c>
    </row>
    <row r="251" spans="1:1" x14ac:dyDescent="0.25">
      <c r="A251" s="29" t="s">
        <v>147</v>
      </c>
    </row>
    <row r="252" spans="1:1" x14ac:dyDescent="0.25">
      <c r="A252" s="29" t="s">
        <v>146</v>
      </c>
    </row>
    <row r="253" spans="1:1" x14ac:dyDescent="0.25">
      <c r="A253" s="29" t="s">
        <v>145</v>
      </c>
    </row>
    <row r="254" spans="1:1" x14ac:dyDescent="0.25">
      <c r="A254" s="29" t="s">
        <v>143</v>
      </c>
    </row>
    <row r="255" spans="1:1" x14ac:dyDescent="0.25">
      <c r="A255" s="29" t="s">
        <v>141</v>
      </c>
    </row>
    <row r="256" spans="1:1" x14ac:dyDescent="0.25">
      <c r="A256" s="29" t="s">
        <v>139</v>
      </c>
    </row>
    <row r="257" spans="1:1" x14ac:dyDescent="0.25">
      <c r="A257" s="29" t="s">
        <v>137</v>
      </c>
    </row>
    <row r="258" spans="1:1" x14ac:dyDescent="0.25">
      <c r="A258" s="29" t="s">
        <v>135</v>
      </c>
    </row>
    <row r="259" spans="1:1" x14ac:dyDescent="0.25">
      <c r="A259" s="29" t="s">
        <v>133</v>
      </c>
    </row>
    <row r="260" spans="1:1" x14ac:dyDescent="0.25">
      <c r="A260" s="29" t="s">
        <v>131</v>
      </c>
    </row>
    <row r="261" spans="1:1" x14ac:dyDescent="0.25">
      <c r="A261" s="29" t="s">
        <v>130</v>
      </c>
    </row>
    <row r="262" spans="1:1" x14ac:dyDescent="0.25">
      <c r="A262" s="29" t="s">
        <v>128</v>
      </c>
    </row>
    <row r="263" spans="1:1" x14ac:dyDescent="0.25">
      <c r="A263" s="29" t="s">
        <v>126</v>
      </c>
    </row>
    <row r="264" spans="1:1" x14ac:dyDescent="0.25">
      <c r="A264" s="29" t="s">
        <v>125</v>
      </c>
    </row>
    <row r="265" spans="1:1" x14ac:dyDescent="0.25">
      <c r="A265" s="29" t="s">
        <v>123</v>
      </c>
    </row>
    <row r="266" spans="1:1" x14ac:dyDescent="0.25">
      <c r="A266" s="29" t="s">
        <v>122</v>
      </c>
    </row>
    <row r="267" spans="1:1" x14ac:dyDescent="0.25">
      <c r="A267" s="29" t="s">
        <v>120</v>
      </c>
    </row>
    <row r="268" spans="1:1" x14ac:dyDescent="0.25">
      <c r="A268" s="29" t="s">
        <v>118</v>
      </c>
    </row>
    <row r="269" spans="1:1" x14ac:dyDescent="0.25">
      <c r="A269" s="29" t="s">
        <v>117</v>
      </c>
    </row>
    <row r="270" spans="1:1" x14ac:dyDescent="0.25">
      <c r="A270" s="29" t="s">
        <v>115</v>
      </c>
    </row>
    <row r="271" spans="1:1" x14ac:dyDescent="0.25">
      <c r="A271" s="29" t="s">
        <v>114</v>
      </c>
    </row>
    <row r="272" spans="1:1" x14ac:dyDescent="0.25">
      <c r="A272" s="29" t="s">
        <v>112</v>
      </c>
    </row>
    <row r="273" spans="1:1" x14ac:dyDescent="0.25">
      <c r="A273" s="29" t="s">
        <v>110</v>
      </c>
    </row>
    <row r="274" spans="1:1" x14ac:dyDescent="0.25">
      <c r="A274" s="29" t="s">
        <v>108</v>
      </c>
    </row>
    <row r="275" spans="1:1" x14ac:dyDescent="0.25">
      <c r="A275" s="29" t="s">
        <v>107</v>
      </c>
    </row>
    <row r="276" spans="1:1" x14ac:dyDescent="0.25">
      <c r="A276" s="29" t="s">
        <v>105</v>
      </c>
    </row>
    <row r="277" spans="1:1" x14ac:dyDescent="0.25">
      <c r="A277" s="29" t="s">
        <v>103</v>
      </c>
    </row>
    <row r="278" spans="1:1" x14ac:dyDescent="0.25">
      <c r="A278" s="29" t="s">
        <v>101</v>
      </c>
    </row>
    <row r="279" spans="1:1" x14ac:dyDescent="0.25">
      <c r="A279" s="29" t="s">
        <v>99</v>
      </c>
    </row>
    <row r="280" spans="1:1" x14ac:dyDescent="0.25">
      <c r="A280" s="29" t="s">
        <v>97</v>
      </c>
    </row>
    <row r="281" spans="1:1" x14ac:dyDescent="0.25">
      <c r="A281" s="29" t="s">
        <v>95</v>
      </c>
    </row>
    <row r="282" spans="1:1" x14ac:dyDescent="0.25">
      <c r="A282" s="29" t="s">
        <v>93</v>
      </c>
    </row>
    <row r="283" spans="1:1" x14ac:dyDescent="0.25">
      <c r="A283" s="29" t="s">
        <v>91</v>
      </c>
    </row>
    <row r="284" spans="1:1" x14ac:dyDescent="0.25">
      <c r="A284" s="29" t="s">
        <v>89</v>
      </c>
    </row>
    <row r="285" spans="1:1" x14ac:dyDescent="0.25">
      <c r="A285" s="29"/>
    </row>
    <row r="288" spans="1:1" x14ac:dyDescent="0.25">
      <c r="A288" s="29" t="s">
        <v>85</v>
      </c>
    </row>
    <row r="289" spans="1:1" x14ac:dyDescent="0.25">
      <c r="A289" s="29" t="s">
        <v>83</v>
      </c>
    </row>
    <row r="290" spans="1:1" x14ac:dyDescent="0.25">
      <c r="A290" s="29" t="s">
        <v>81</v>
      </c>
    </row>
    <row r="291" spans="1:1" x14ac:dyDescent="0.25">
      <c r="A291" s="29" t="s">
        <v>79</v>
      </c>
    </row>
    <row r="292" spans="1:1" x14ac:dyDescent="0.25">
      <c r="A292" s="29" t="s">
        <v>77</v>
      </c>
    </row>
    <row r="293" spans="1:1" x14ac:dyDescent="0.25">
      <c r="A293" s="29" t="s">
        <v>75</v>
      </c>
    </row>
    <row r="294" spans="1:1" x14ac:dyDescent="0.25">
      <c r="A294" s="29" t="s">
        <v>73</v>
      </c>
    </row>
    <row r="295" spans="1:1" x14ac:dyDescent="0.25">
      <c r="A295" s="29" t="s">
        <v>71</v>
      </c>
    </row>
    <row r="296" spans="1:1" x14ac:dyDescent="0.25">
      <c r="A296" s="29" t="s">
        <v>69</v>
      </c>
    </row>
    <row r="297" spans="1:1" x14ac:dyDescent="0.25">
      <c r="A297" s="29" t="s">
        <v>67</v>
      </c>
    </row>
    <row r="298" spans="1:1" x14ac:dyDescent="0.25">
      <c r="A298" s="29" t="s">
        <v>65</v>
      </c>
    </row>
    <row r="299" spans="1:1" x14ac:dyDescent="0.25">
      <c r="A299" s="29" t="s">
        <v>63</v>
      </c>
    </row>
    <row r="300" spans="1:1" x14ac:dyDescent="0.25">
      <c r="A300" s="29"/>
    </row>
    <row r="302" spans="1:1" x14ac:dyDescent="0.25">
      <c r="A302" s="29"/>
    </row>
    <row r="305" spans="1:1" x14ac:dyDescent="0.25">
      <c r="A305" s="29" t="s">
        <v>58</v>
      </c>
    </row>
    <row r="306" spans="1:1" x14ac:dyDescent="0.25">
      <c r="A306" s="29" t="s">
        <v>56</v>
      </c>
    </row>
    <row r="307" spans="1:1" x14ac:dyDescent="0.25">
      <c r="A307" s="29" t="s">
        <v>54</v>
      </c>
    </row>
  </sheetData>
  <pageMargins left="0.75" right="0.75" top="1.5" bottom="1" header="0.5" footer="0.5"/>
  <pageSetup orientation="portrait"/>
  <headerFooter alignWithMargins="0">
    <oddHeader xml:space="preserve">&amp;C American Aerospace Controls Inc.
INCOME STATEMENT
FOR PERIOD ENDING:  9/30/2025
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B8CD-0BA8-445B-8120-7AE27B6C4C6B}">
  <dimension ref="A1:F71"/>
  <sheetViews>
    <sheetView showGridLines="0" workbookViewId="0"/>
  </sheetViews>
  <sheetFormatPr defaultRowHeight="12.5" x14ac:dyDescent="0.25"/>
  <cols>
    <col min="1" max="1" width="13.7265625" style="26" customWidth="1"/>
    <col min="2" max="2" width="39.7265625" style="26" customWidth="1"/>
    <col min="3" max="4" width="16.7265625" style="26" customWidth="1"/>
    <col min="5" max="5" width="14.7265625" style="26" customWidth="1"/>
    <col min="6" max="6" width="10.7265625" style="26" customWidth="1"/>
    <col min="7" max="256" width="9.1796875" style="26" customWidth="1"/>
    <col min="257" max="16384" width="8.7265625" style="26"/>
  </cols>
  <sheetData>
    <row r="1" spans="1:6" x14ac:dyDescent="0.25">
      <c r="A1" s="34" t="s">
        <v>342</v>
      </c>
      <c r="B1" s="34" t="s">
        <v>341</v>
      </c>
      <c r="C1" s="34" t="s">
        <v>448</v>
      </c>
      <c r="D1" s="34" t="s">
        <v>336</v>
      </c>
      <c r="E1" s="34" t="s">
        <v>337</v>
      </c>
      <c r="F1" s="34" t="s">
        <v>447</v>
      </c>
    </row>
    <row r="2" spans="1:6" x14ac:dyDescent="0.25">
      <c r="B2" s="32" t="s">
        <v>446</v>
      </c>
    </row>
    <row r="3" spans="1:6" x14ac:dyDescent="0.25">
      <c r="B3" s="32" t="s">
        <v>445</v>
      </c>
    </row>
    <row r="4" spans="1:6" x14ac:dyDescent="0.25">
      <c r="A4" s="32" t="s">
        <v>444</v>
      </c>
      <c r="B4" s="32" t="s">
        <v>443</v>
      </c>
      <c r="C4" s="31">
        <v>2210695.38</v>
      </c>
      <c r="D4" s="31">
        <v>968363.21</v>
      </c>
      <c r="E4" s="31">
        <v>1242332.17</v>
      </c>
      <c r="F4" s="31">
        <v>128.29196288859424</v>
      </c>
    </row>
    <row r="5" spans="1:6" x14ac:dyDescent="0.25">
      <c r="A5" s="32" t="s">
        <v>442</v>
      </c>
      <c r="B5" s="32" t="s">
        <v>441</v>
      </c>
      <c r="C5" s="31">
        <v>185561.08</v>
      </c>
      <c r="D5" s="31">
        <v>223606.31</v>
      </c>
      <c r="E5" s="33">
        <v>-38045.230000000003</v>
      </c>
      <c r="F5" s="33">
        <v>-17.014381213124086</v>
      </c>
    </row>
    <row r="6" spans="1:6" x14ac:dyDescent="0.25">
      <c r="A6" s="32" t="s">
        <v>440</v>
      </c>
      <c r="B6" s="32" t="s">
        <v>439</v>
      </c>
      <c r="C6" s="31">
        <v>2000</v>
      </c>
      <c r="D6" s="31">
        <v>6738.44</v>
      </c>
      <c r="E6" s="33">
        <v>-4738.4399999999996</v>
      </c>
      <c r="F6" s="33">
        <v>-70.319539834145587</v>
      </c>
    </row>
    <row r="7" spans="1:6" x14ac:dyDescent="0.25">
      <c r="A7" s="32" t="s">
        <v>438</v>
      </c>
      <c r="B7" s="32" t="s">
        <v>437</v>
      </c>
      <c r="C7" s="31">
        <v>500</v>
      </c>
      <c r="D7" s="31">
        <v>500</v>
      </c>
      <c r="E7" s="31">
        <v>0</v>
      </c>
      <c r="F7" s="31">
        <v>0</v>
      </c>
    </row>
    <row r="8" spans="1:6" x14ac:dyDescent="0.25">
      <c r="A8" s="32"/>
      <c r="B8" s="32" t="s">
        <v>436</v>
      </c>
      <c r="C8" s="31">
        <v>2398756.46</v>
      </c>
      <c r="D8" s="31">
        <v>1199207.96</v>
      </c>
      <c r="E8" s="31">
        <v>1199548.5</v>
      </c>
      <c r="F8" s="31">
        <v>100.02839707635029</v>
      </c>
    </row>
    <row r="9" spans="1:6" x14ac:dyDescent="0.25">
      <c r="B9" s="32" t="s">
        <v>435</v>
      </c>
    </row>
    <row r="10" spans="1:6" x14ac:dyDescent="0.25">
      <c r="A10" s="32" t="s">
        <v>434</v>
      </c>
      <c r="B10" s="32" t="s">
        <v>433</v>
      </c>
      <c r="C10" s="31">
        <v>405784.26</v>
      </c>
      <c r="D10" s="31">
        <v>579372.30000000005</v>
      </c>
      <c r="E10" s="33">
        <v>-173588.04</v>
      </c>
      <c r="F10" s="33">
        <v>-29.961397878359044</v>
      </c>
    </row>
    <row r="11" spans="1:6" x14ac:dyDescent="0.25">
      <c r="A11" s="32" t="s">
        <v>432</v>
      </c>
      <c r="B11" s="32" t="s">
        <v>431</v>
      </c>
      <c r="C11" s="31">
        <v>0</v>
      </c>
      <c r="D11" s="31">
        <v>5785.03</v>
      </c>
      <c r="E11" s="33">
        <v>-5785.03</v>
      </c>
      <c r="F11" s="33">
        <v>-100</v>
      </c>
    </row>
    <row r="12" spans="1:6" x14ac:dyDescent="0.25">
      <c r="A12" s="32"/>
      <c r="B12" s="32" t="s">
        <v>430</v>
      </c>
      <c r="C12" s="31">
        <v>405784.26</v>
      </c>
      <c r="D12" s="31">
        <v>585157.32999999996</v>
      </c>
      <c r="E12" s="33">
        <v>-179373.07</v>
      </c>
      <c r="F12" s="33">
        <v>-30.653819204486425</v>
      </c>
    </row>
    <row r="13" spans="1:6" x14ac:dyDescent="0.25">
      <c r="B13" s="32" t="s">
        <v>429</v>
      </c>
    </row>
    <row r="14" spans="1:6" x14ac:dyDescent="0.25">
      <c r="A14" s="32" t="s">
        <v>428</v>
      </c>
      <c r="B14" s="32" t="s">
        <v>427</v>
      </c>
      <c r="C14" s="33">
        <v>-15130.57</v>
      </c>
      <c r="D14" s="33">
        <v>-15130.57</v>
      </c>
      <c r="E14" s="31">
        <v>0</v>
      </c>
      <c r="F14" s="31">
        <v>0</v>
      </c>
    </row>
    <row r="15" spans="1:6" x14ac:dyDescent="0.25">
      <c r="A15" s="32" t="s">
        <v>426</v>
      </c>
      <c r="B15" s="32" t="s">
        <v>425</v>
      </c>
      <c r="C15" s="33">
        <v>-18599.3</v>
      </c>
      <c r="D15" s="33">
        <v>-24542.41</v>
      </c>
      <c r="E15" s="31">
        <v>5943.11</v>
      </c>
      <c r="F15" s="31">
        <v>24.215674010824529</v>
      </c>
    </row>
    <row r="16" spans="1:6" x14ac:dyDescent="0.25">
      <c r="A16" s="32" t="s">
        <v>424</v>
      </c>
      <c r="B16" s="32" t="s">
        <v>423</v>
      </c>
      <c r="C16" s="31">
        <v>525775.93999999994</v>
      </c>
      <c r="D16" s="31">
        <v>1105726.31</v>
      </c>
      <c r="E16" s="33">
        <v>-579950.37</v>
      </c>
      <c r="F16" s="33">
        <v>-52.449721486685071</v>
      </c>
    </row>
    <row r="17" spans="1:6" x14ac:dyDescent="0.25">
      <c r="A17" s="32"/>
      <c r="B17" s="32" t="s">
        <v>422</v>
      </c>
      <c r="C17" s="31">
        <v>492046.07</v>
      </c>
      <c r="D17" s="31">
        <v>1066053.33</v>
      </c>
      <c r="E17" s="33">
        <v>-574007.26</v>
      </c>
      <c r="F17" s="33">
        <v>-53.844141174438235</v>
      </c>
    </row>
    <row r="18" spans="1:6" x14ac:dyDescent="0.25">
      <c r="B18" s="32" t="s">
        <v>421</v>
      </c>
    </row>
    <row r="19" spans="1:6" x14ac:dyDescent="0.25">
      <c r="A19" s="32" t="s">
        <v>420</v>
      </c>
      <c r="B19" s="32" t="s">
        <v>419</v>
      </c>
      <c r="C19" s="31">
        <v>1444746.54</v>
      </c>
      <c r="D19" s="31">
        <v>1415642.8</v>
      </c>
      <c r="E19" s="31">
        <v>29103.74</v>
      </c>
      <c r="F19" s="31">
        <v>2.055867482955446</v>
      </c>
    </row>
    <row r="20" spans="1:6" x14ac:dyDescent="0.25">
      <c r="A20" s="32" t="s">
        <v>418</v>
      </c>
      <c r="B20" s="32" t="s">
        <v>417</v>
      </c>
      <c r="C20" s="31">
        <v>379024.97</v>
      </c>
      <c r="D20" s="31">
        <v>375815.92</v>
      </c>
      <c r="E20" s="31">
        <v>3209.05</v>
      </c>
      <c r="F20" s="31">
        <v>0.85388878682946689</v>
      </c>
    </row>
    <row r="21" spans="1:6" x14ac:dyDescent="0.25">
      <c r="A21" s="32" t="s">
        <v>416</v>
      </c>
      <c r="B21" s="32" t="s">
        <v>415</v>
      </c>
      <c r="C21" s="31">
        <v>94558.35</v>
      </c>
      <c r="D21" s="31">
        <v>289304.2</v>
      </c>
      <c r="E21" s="33">
        <v>-194745.85</v>
      </c>
      <c r="F21" s="33">
        <v>-67.315251558739902</v>
      </c>
    </row>
    <row r="22" spans="1:6" x14ac:dyDescent="0.25">
      <c r="A22" s="32" t="s">
        <v>414</v>
      </c>
      <c r="B22" s="32" t="s">
        <v>413</v>
      </c>
      <c r="C22" s="31">
        <v>10288.17</v>
      </c>
      <c r="D22" s="31">
        <v>201</v>
      </c>
      <c r="E22" s="31">
        <v>10087.17</v>
      </c>
      <c r="F22" s="31">
        <v>5018.492537313432</v>
      </c>
    </row>
    <row r="23" spans="1:6" x14ac:dyDescent="0.25">
      <c r="A23" s="32" t="s">
        <v>412</v>
      </c>
      <c r="B23" s="32" t="s">
        <v>411</v>
      </c>
      <c r="C23" s="31">
        <v>7157.59</v>
      </c>
      <c r="D23" s="31">
        <v>621.11</v>
      </c>
      <c r="E23" s="31">
        <v>6536.48</v>
      </c>
      <c r="F23" s="31">
        <v>1052.3868557904395</v>
      </c>
    </row>
    <row r="24" spans="1:6" x14ac:dyDescent="0.25">
      <c r="A24" s="32"/>
      <c r="B24" s="32" t="s">
        <v>410</v>
      </c>
      <c r="C24" s="31">
        <v>1935775.62</v>
      </c>
      <c r="D24" s="31">
        <v>2081585.03</v>
      </c>
      <c r="E24" s="33">
        <v>-145809.41</v>
      </c>
      <c r="F24" s="33">
        <v>-7.0047299485046741</v>
      </c>
    </row>
    <row r="25" spans="1:6" x14ac:dyDescent="0.25">
      <c r="B25" s="32" t="s">
        <v>409</v>
      </c>
    </row>
    <row r="26" spans="1:6" x14ac:dyDescent="0.25">
      <c r="A26" s="32" t="s">
        <v>408</v>
      </c>
      <c r="B26" s="32" t="s">
        <v>407</v>
      </c>
      <c r="C26" s="31">
        <v>32668.09</v>
      </c>
      <c r="D26" s="31">
        <v>36463.25</v>
      </c>
      <c r="E26" s="33">
        <v>-3795.16</v>
      </c>
      <c r="F26" s="33">
        <v>-10.408178097125187</v>
      </c>
    </row>
    <row r="27" spans="1:6" x14ac:dyDescent="0.25">
      <c r="A27" s="32" t="s">
        <v>406</v>
      </c>
      <c r="B27" s="32" t="s">
        <v>405</v>
      </c>
      <c r="C27" s="31">
        <v>15831.96</v>
      </c>
      <c r="D27" s="31">
        <v>13995.05</v>
      </c>
      <c r="E27" s="31">
        <v>1836.91</v>
      </c>
      <c r="F27" s="31">
        <v>13.12542649008042</v>
      </c>
    </row>
    <row r="28" spans="1:6" x14ac:dyDescent="0.25">
      <c r="A28" s="32" t="s">
        <v>404</v>
      </c>
      <c r="B28" s="32" t="s">
        <v>403</v>
      </c>
      <c r="C28" s="33">
        <v>-1936.48</v>
      </c>
      <c r="D28" s="31">
        <v>2360.08</v>
      </c>
      <c r="E28" s="33">
        <v>-4296.5600000000004</v>
      </c>
      <c r="F28" s="33">
        <v>-182.05145588285143</v>
      </c>
    </row>
    <row r="29" spans="1:6" x14ac:dyDescent="0.25">
      <c r="A29" s="32" t="s">
        <v>402</v>
      </c>
      <c r="B29" s="32" t="s">
        <v>401</v>
      </c>
      <c r="C29" s="31">
        <v>4550</v>
      </c>
      <c r="D29" s="31">
        <v>30809.98</v>
      </c>
      <c r="E29" s="33">
        <v>-26259.98</v>
      </c>
      <c r="F29" s="33">
        <v>-85.232057924088224</v>
      </c>
    </row>
    <row r="30" spans="1:6" x14ac:dyDescent="0.25">
      <c r="A30" s="32"/>
      <c r="B30" s="32" t="s">
        <v>400</v>
      </c>
      <c r="C30" s="31">
        <v>51113.57</v>
      </c>
      <c r="D30" s="31">
        <v>83628.36</v>
      </c>
      <c r="E30" s="33">
        <v>-32514.79</v>
      </c>
      <c r="F30" s="33">
        <v>-38.880100004352592</v>
      </c>
    </row>
    <row r="31" spans="1:6" x14ac:dyDescent="0.25">
      <c r="A31" s="32"/>
      <c r="B31" s="32" t="s">
        <v>399</v>
      </c>
      <c r="C31" s="31">
        <v>5283475.9800000004</v>
      </c>
      <c r="D31" s="31">
        <v>5015632.01</v>
      </c>
      <c r="E31" s="31">
        <v>267843.96999999997</v>
      </c>
      <c r="F31" s="31">
        <v>5.3401838385667375</v>
      </c>
    </row>
    <row r="32" spans="1:6" x14ac:dyDescent="0.25">
      <c r="B32" s="32" t="s">
        <v>398</v>
      </c>
    </row>
    <row r="33" spans="1:6" x14ac:dyDescent="0.25">
      <c r="A33" s="32" t="s">
        <v>397</v>
      </c>
      <c r="B33" s="32" t="s">
        <v>396</v>
      </c>
      <c r="C33" s="31">
        <v>122000</v>
      </c>
      <c r="D33" s="31">
        <v>122000</v>
      </c>
      <c r="E33" s="31">
        <v>0</v>
      </c>
      <c r="F33" s="31">
        <v>0</v>
      </c>
    </row>
    <row r="34" spans="1:6" x14ac:dyDescent="0.25">
      <c r="A34" s="32" t="s">
        <v>395</v>
      </c>
      <c r="B34" s="32" t="s">
        <v>394</v>
      </c>
      <c r="C34" s="31">
        <v>1039840.73</v>
      </c>
      <c r="D34" s="31">
        <v>1039840.73</v>
      </c>
      <c r="E34" s="31">
        <v>0</v>
      </c>
      <c r="F34" s="31">
        <v>0</v>
      </c>
    </row>
    <row r="35" spans="1:6" x14ac:dyDescent="0.25">
      <c r="A35" s="32" t="s">
        <v>393</v>
      </c>
      <c r="B35" s="32" t="s">
        <v>392</v>
      </c>
      <c r="C35" s="31">
        <v>230619.89</v>
      </c>
      <c r="D35" s="31">
        <v>230619.89</v>
      </c>
      <c r="E35" s="31">
        <v>0</v>
      </c>
      <c r="F35" s="31">
        <v>0</v>
      </c>
    </row>
    <row r="36" spans="1:6" x14ac:dyDescent="0.25">
      <c r="A36" s="32" t="s">
        <v>391</v>
      </c>
      <c r="B36" s="32" t="s">
        <v>390</v>
      </c>
      <c r="C36" s="31">
        <v>2015708.58</v>
      </c>
      <c r="D36" s="31">
        <v>1849633.76</v>
      </c>
      <c r="E36" s="31">
        <v>166074.82</v>
      </c>
      <c r="F36" s="31">
        <v>8.9787948074650181</v>
      </c>
    </row>
    <row r="37" spans="1:6" x14ac:dyDescent="0.25">
      <c r="A37" s="32" t="s">
        <v>389</v>
      </c>
      <c r="B37" s="32" t="s">
        <v>388</v>
      </c>
      <c r="C37" s="31">
        <v>96925.38</v>
      </c>
      <c r="D37" s="31">
        <v>96925.38</v>
      </c>
      <c r="E37" s="31">
        <v>0</v>
      </c>
      <c r="F37" s="31">
        <v>0</v>
      </c>
    </row>
    <row r="38" spans="1:6" x14ac:dyDescent="0.25">
      <c r="A38" s="32" t="s">
        <v>387</v>
      </c>
      <c r="B38" s="32" t="s">
        <v>386</v>
      </c>
      <c r="C38" s="31">
        <v>110411.14</v>
      </c>
      <c r="D38" s="31">
        <v>110411.14</v>
      </c>
      <c r="E38" s="31">
        <v>0</v>
      </c>
      <c r="F38" s="31">
        <v>0</v>
      </c>
    </row>
    <row r="39" spans="1:6" x14ac:dyDescent="0.25">
      <c r="A39" s="32" t="s">
        <v>385</v>
      </c>
      <c r="B39" s="32" t="s">
        <v>384</v>
      </c>
      <c r="C39" s="33">
        <v>-3221865.46</v>
      </c>
      <c r="D39" s="33">
        <v>-3143237.14</v>
      </c>
      <c r="E39" s="33">
        <v>-78628.320000000007</v>
      </c>
      <c r="F39" s="33">
        <v>-2.5015077290668559</v>
      </c>
    </row>
    <row r="40" spans="1:6" x14ac:dyDescent="0.25">
      <c r="A40" s="32" t="s">
        <v>383</v>
      </c>
      <c r="B40" s="32" t="s">
        <v>382</v>
      </c>
      <c r="C40" s="33">
        <v>-96925.38</v>
      </c>
      <c r="D40" s="33">
        <v>-96925.38</v>
      </c>
      <c r="E40" s="31">
        <v>0</v>
      </c>
      <c r="F40" s="31">
        <v>0</v>
      </c>
    </row>
    <row r="41" spans="1:6" x14ac:dyDescent="0.25">
      <c r="A41" s="32"/>
      <c r="B41" s="32" t="s">
        <v>381</v>
      </c>
      <c r="C41" s="31">
        <v>296714.88</v>
      </c>
      <c r="D41" s="31">
        <v>209268.38</v>
      </c>
      <c r="E41" s="31">
        <v>87446.5</v>
      </c>
      <c r="F41" s="31">
        <v>41.786771608782942</v>
      </c>
    </row>
    <row r="42" spans="1:6" x14ac:dyDescent="0.25">
      <c r="A42" s="32"/>
      <c r="B42" s="32" t="s">
        <v>380</v>
      </c>
      <c r="C42" s="31">
        <v>5580190.8600000003</v>
      </c>
      <c r="D42" s="31">
        <v>5224900.3899999997</v>
      </c>
      <c r="E42" s="31">
        <v>355290.47</v>
      </c>
      <c r="F42" s="31">
        <v>6.7999472426305916</v>
      </c>
    </row>
    <row r="43" spans="1:6" x14ac:dyDescent="0.25">
      <c r="B43" s="32" t="s">
        <v>379</v>
      </c>
    </row>
    <row r="44" spans="1:6" x14ac:dyDescent="0.25">
      <c r="B44" s="32" t="s">
        <v>378</v>
      </c>
    </row>
    <row r="45" spans="1:6" x14ac:dyDescent="0.25">
      <c r="A45" s="32" t="s">
        <v>377</v>
      </c>
      <c r="B45" s="32" t="s">
        <v>376</v>
      </c>
      <c r="C45" s="31">
        <v>163543.70000000001</v>
      </c>
      <c r="D45" s="31">
        <v>38342.49</v>
      </c>
      <c r="E45" s="31">
        <v>125201.21</v>
      </c>
      <c r="F45" s="31">
        <v>326.53385317437653</v>
      </c>
    </row>
    <row r="46" spans="1:6" x14ac:dyDescent="0.25">
      <c r="A46" s="32" t="s">
        <v>375</v>
      </c>
      <c r="B46" s="32" t="s">
        <v>374</v>
      </c>
      <c r="C46" s="33">
        <v>-10190.85</v>
      </c>
      <c r="D46" s="33">
        <v>-1120.54</v>
      </c>
      <c r="E46" s="33">
        <v>-9070.31</v>
      </c>
      <c r="F46" s="33">
        <v>-809.45883234868893</v>
      </c>
    </row>
    <row r="47" spans="1:6" x14ac:dyDescent="0.25">
      <c r="A47" s="32" t="s">
        <v>373</v>
      </c>
      <c r="B47" s="32" t="s">
        <v>372</v>
      </c>
      <c r="C47" s="31">
        <v>0</v>
      </c>
      <c r="D47" s="33">
        <v>-550</v>
      </c>
      <c r="E47" s="31">
        <v>550</v>
      </c>
      <c r="F47" s="31">
        <v>100</v>
      </c>
    </row>
    <row r="48" spans="1:6" x14ac:dyDescent="0.25">
      <c r="A48" s="32" t="s">
        <v>371</v>
      </c>
      <c r="B48" s="32" t="s">
        <v>370</v>
      </c>
      <c r="C48" s="31">
        <v>45527.87</v>
      </c>
      <c r="D48" s="33">
        <v>-2249.0100000000002</v>
      </c>
      <c r="E48" s="31">
        <v>47776.88</v>
      </c>
      <c r="F48" s="31">
        <v>2124.3516035944704</v>
      </c>
    </row>
    <row r="49" spans="1:6" x14ac:dyDescent="0.25">
      <c r="A49" s="32"/>
      <c r="B49" s="32" t="s">
        <v>369</v>
      </c>
      <c r="C49" s="31">
        <v>198880.72</v>
      </c>
      <c r="D49" s="31">
        <v>34422.94</v>
      </c>
      <c r="E49" s="31">
        <v>164457.78</v>
      </c>
      <c r="F49" s="31">
        <v>477.75634504199815</v>
      </c>
    </row>
    <row r="50" spans="1:6" x14ac:dyDescent="0.25">
      <c r="B50" s="32" t="s">
        <v>368</v>
      </c>
    </row>
    <row r="51" spans="1:6" x14ac:dyDescent="0.25">
      <c r="B51" s="32" t="s">
        <v>367</v>
      </c>
    </row>
    <row r="52" spans="1:6" x14ac:dyDescent="0.25">
      <c r="B52" s="32" t="s">
        <v>366</v>
      </c>
    </row>
    <row r="53" spans="1:6" x14ac:dyDescent="0.25">
      <c r="A53" s="32" t="s">
        <v>365</v>
      </c>
      <c r="B53" s="32" t="s">
        <v>364</v>
      </c>
      <c r="C53" s="31">
        <v>126697.82</v>
      </c>
      <c r="D53" s="31">
        <v>0</v>
      </c>
      <c r="E53" s="31">
        <v>126697.82</v>
      </c>
      <c r="F53" s="31">
        <v>0</v>
      </c>
    </row>
    <row r="54" spans="1:6" x14ac:dyDescent="0.25">
      <c r="A54" s="32" t="s">
        <v>363</v>
      </c>
      <c r="B54" s="32" t="s">
        <v>362</v>
      </c>
      <c r="C54" s="31">
        <v>14833.24</v>
      </c>
      <c r="D54" s="31">
        <v>0</v>
      </c>
      <c r="E54" s="31">
        <v>14833.24</v>
      </c>
      <c r="F54" s="31">
        <v>0</v>
      </c>
    </row>
    <row r="55" spans="1:6" x14ac:dyDescent="0.25">
      <c r="A55" s="32" t="s">
        <v>361</v>
      </c>
      <c r="B55" s="32" t="s">
        <v>360</v>
      </c>
      <c r="C55" s="31">
        <v>95227.53</v>
      </c>
      <c r="D55" s="31">
        <v>70208.63</v>
      </c>
      <c r="E55" s="31">
        <v>25018.9</v>
      </c>
      <c r="F55" s="31">
        <v>35.635077909937849</v>
      </c>
    </row>
    <row r="56" spans="1:6" x14ac:dyDescent="0.25">
      <c r="A56" s="32" t="s">
        <v>359</v>
      </c>
      <c r="B56" s="32" t="s">
        <v>358</v>
      </c>
      <c r="C56" s="31">
        <v>22197.97</v>
      </c>
      <c r="D56" s="31">
        <v>0</v>
      </c>
      <c r="E56" s="31">
        <v>22197.97</v>
      </c>
      <c r="F56" s="31">
        <v>0</v>
      </c>
    </row>
    <row r="57" spans="1:6" x14ac:dyDescent="0.25">
      <c r="A57" s="32" t="s">
        <v>357</v>
      </c>
      <c r="B57" s="32" t="s">
        <v>356</v>
      </c>
      <c r="C57" s="31">
        <v>150000</v>
      </c>
      <c r="D57" s="31">
        <v>150000</v>
      </c>
      <c r="E57" s="31">
        <v>0</v>
      </c>
      <c r="F57" s="31">
        <v>0</v>
      </c>
    </row>
    <row r="58" spans="1:6" x14ac:dyDescent="0.25">
      <c r="A58" s="32"/>
      <c r="B58" s="32" t="s">
        <v>355</v>
      </c>
      <c r="C58" s="31">
        <v>408956.56</v>
      </c>
      <c r="D58" s="31">
        <v>220208.63</v>
      </c>
      <c r="E58" s="31">
        <v>188747.93</v>
      </c>
      <c r="F58" s="31">
        <v>85.713230221722</v>
      </c>
    </row>
    <row r="59" spans="1:6" x14ac:dyDescent="0.25">
      <c r="A59" s="32"/>
      <c r="B59" s="32" t="s">
        <v>354</v>
      </c>
      <c r="C59" s="31">
        <v>607837.28</v>
      </c>
      <c r="D59" s="31">
        <v>254631.57</v>
      </c>
      <c r="E59" s="31">
        <v>353205.71</v>
      </c>
      <c r="F59" s="31">
        <v>138.7124581606279</v>
      </c>
    </row>
    <row r="60" spans="1:6" x14ac:dyDescent="0.25">
      <c r="A60" s="32"/>
      <c r="B60" s="32" t="s">
        <v>353</v>
      </c>
      <c r="C60" s="31">
        <v>607837.28</v>
      </c>
      <c r="D60" s="31">
        <v>254631.57</v>
      </c>
      <c r="E60" s="31">
        <v>353205.71</v>
      </c>
      <c r="F60" s="31">
        <v>138.7124581606279</v>
      </c>
    </row>
    <row r="61" spans="1:6" x14ac:dyDescent="0.25">
      <c r="B61" s="32" t="s">
        <v>352</v>
      </c>
    </row>
    <row r="62" spans="1:6" x14ac:dyDescent="0.25">
      <c r="A62" s="32" t="str">
        <f>'Detailed BS'!B47</f>
        <v>00-3300-000</v>
      </c>
      <c r="B62" s="32" t="s">
        <v>351</v>
      </c>
      <c r="C62" s="31">
        <v>165000</v>
      </c>
      <c r="D62" s="31">
        <v>165000</v>
      </c>
      <c r="E62" s="31">
        <v>0</v>
      </c>
      <c r="F62" s="31">
        <v>0</v>
      </c>
    </row>
    <row r="63" spans="1:6" x14ac:dyDescent="0.25">
      <c r="A63" s="32" t="str">
        <f>'Detailed BS'!B48</f>
        <v>00-3320-000</v>
      </c>
      <c r="B63" s="32" t="s">
        <v>350</v>
      </c>
      <c r="C63" s="33">
        <v>-1181600</v>
      </c>
      <c r="D63" s="33">
        <v>-871770</v>
      </c>
      <c r="E63" s="33">
        <v>-309830</v>
      </c>
      <c r="F63" s="33">
        <v>-35.540337474333825</v>
      </c>
    </row>
    <row r="64" spans="1:6" x14ac:dyDescent="0.25">
      <c r="A64" s="32" t="str">
        <f>'Detailed BS'!B49</f>
        <v>00-3330-000</v>
      </c>
      <c r="B64" s="32" t="s">
        <v>349</v>
      </c>
      <c r="C64" s="33">
        <v>-372450.74</v>
      </c>
      <c r="D64" s="33">
        <v>-920332.57</v>
      </c>
      <c r="E64" s="31">
        <v>547881.82999999996</v>
      </c>
      <c r="F64" s="31">
        <v>59.530853069776725</v>
      </c>
    </row>
    <row r="65" spans="1:6" x14ac:dyDescent="0.25">
      <c r="A65" s="32" t="str">
        <f>'Detailed BS'!B50</f>
        <v>00-3340-000</v>
      </c>
      <c r="B65" s="32" t="s">
        <v>348</v>
      </c>
      <c r="C65" s="31">
        <v>20977734.739999998</v>
      </c>
      <c r="D65" s="31">
        <v>20857750.370000001</v>
      </c>
      <c r="E65" s="31">
        <v>119984.37</v>
      </c>
      <c r="F65" s="31">
        <v>0.57525077187890417</v>
      </c>
    </row>
    <row r="66" spans="1:6" x14ac:dyDescent="0.25">
      <c r="A66" s="32" t="s">
        <v>347</v>
      </c>
      <c r="B66" s="32" t="s">
        <v>346</v>
      </c>
      <c r="C66" s="31">
        <v>-16172465.92</v>
      </c>
      <c r="D66" s="31">
        <v>-14380363.35</v>
      </c>
      <c r="E66" s="31">
        <v>1792102.57</v>
      </c>
      <c r="F66" s="31">
        <v>12.462150825973392</v>
      </c>
    </row>
    <row r="67" spans="1:6" x14ac:dyDescent="0.25">
      <c r="A67" s="32" t="s">
        <v>518</v>
      </c>
      <c r="B67" s="32" t="s">
        <v>345</v>
      </c>
      <c r="C67" s="31">
        <v>1556135.5</v>
      </c>
      <c r="D67" s="31">
        <v>119984.37</v>
      </c>
      <c r="E67" s="31">
        <v>1436151.13</v>
      </c>
      <c r="F67" s="31">
        <v>1196.9485108768749</v>
      </c>
    </row>
    <row r="68" spans="1:6" x14ac:dyDescent="0.25">
      <c r="A68" s="32"/>
      <c r="B68" s="32" t="s">
        <v>344</v>
      </c>
      <c r="C68" s="31">
        <v>4972353.58</v>
      </c>
      <c r="D68" s="31">
        <v>4970268.82</v>
      </c>
      <c r="E68" s="31">
        <v>2084.7600000000002</v>
      </c>
      <c r="F68" s="31">
        <v>4.1944612565241499E-2</v>
      </c>
    </row>
    <row r="69" spans="1:6" x14ac:dyDescent="0.25">
      <c r="A69" s="32"/>
      <c r="B69" s="32" t="s">
        <v>343</v>
      </c>
      <c r="C69" s="31">
        <v>5580190.8600000003</v>
      </c>
      <c r="D69" s="31">
        <v>5224900.3899999997</v>
      </c>
      <c r="E69" s="31">
        <v>355290.47</v>
      </c>
      <c r="F69" s="31">
        <v>6.7999472426305916</v>
      </c>
    </row>
    <row r="71" spans="1:6" x14ac:dyDescent="0.25">
      <c r="B71" s="58"/>
    </row>
  </sheetData>
  <pageMargins left="0.75" right="0.75" top="1.5" bottom="1" header="0.5" footer="0.5"/>
  <pageSetup orientation="portrait"/>
  <headerFooter alignWithMargins="0">
    <oddHeader xml:space="preserve">&amp;C American Aerospace Controls Inc.
BALANCE SHEET
FOR PERIOD ENDING:  12/31/2022
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6246-2FD2-4472-B44B-8898D7F9E7DC}">
  <dimension ref="A1:F69"/>
  <sheetViews>
    <sheetView showGridLines="0" workbookViewId="0"/>
  </sheetViews>
  <sheetFormatPr defaultRowHeight="12.5" x14ac:dyDescent="0.25"/>
  <cols>
    <col min="1" max="1" width="13.7265625" style="26" customWidth="1"/>
    <col min="2" max="2" width="39.7265625" style="26" customWidth="1"/>
    <col min="3" max="4" width="16.7265625" style="26" customWidth="1"/>
    <col min="5" max="5" width="14.7265625" style="26" customWidth="1"/>
    <col min="6" max="6" width="10.7265625" style="26" customWidth="1"/>
    <col min="7" max="256" width="9.1796875" style="26" customWidth="1"/>
    <col min="257" max="16384" width="8.7265625" style="26"/>
  </cols>
  <sheetData>
    <row r="1" spans="1:6" x14ac:dyDescent="0.25">
      <c r="A1" s="34" t="s">
        <v>342</v>
      </c>
      <c r="B1" s="34" t="s">
        <v>341</v>
      </c>
      <c r="C1" s="34" t="s">
        <v>448</v>
      </c>
      <c r="D1" s="34" t="s">
        <v>336</v>
      </c>
      <c r="E1" s="34" t="s">
        <v>337</v>
      </c>
      <c r="F1" s="34" t="s">
        <v>447</v>
      </c>
    </row>
    <row r="2" spans="1:6" x14ac:dyDescent="0.25">
      <c r="B2" s="32" t="s">
        <v>446</v>
      </c>
    </row>
    <row r="3" spans="1:6" x14ac:dyDescent="0.25">
      <c r="B3" s="32" t="s">
        <v>445</v>
      </c>
    </row>
    <row r="4" spans="1:6" x14ac:dyDescent="0.25">
      <c r="A4" s="32" t="s">
        <v>444</v>
      </c>
      <c r="B4" s="32" t="s">
        <v>443</v>
      </c>
      <c r="C4" s="31">
        <v>1598672.4</v>
      </c>
      <c r="D4" s="31">
        <v>2210695.38</v>
      </c>
      <c r="E4" s="33">
        <v>-612022.98</v>
      </c>
      <c r="F4" s="33">
        <v>-27.684636496594116</v>
      </c>
    </row>
    <row r="5" spans="1:6" x14ac:dyDescent="0.25">
      <c r="A5" s="32" t="s">
        <v>442</v>
      </c>
      <c r="B5" s="32" t="s">
        <v>441</v>
      </c>
      <c r="C5" s="31">
        <v>14095.12</v>
      </c>
      <c r="D5" s="31">
        <v>185561.08</v>
      </c>
      <c r="E5" s="33">
        <v>-171465.96</v>
      </c>
      <c r="F5" s="33">
        <v>-92.404053694880403</v>
      </c>
    </row>
    <row r="6" spans="1:6" x14ac:dyDescent="0.25">
      <c r="A6" s="32" t="s">
        <v>440</v>
      </c>
      <c r="B6" s="32" t="s">
        <v>439</v>
      </c>
      <c r="C6" s="31">
        <v>2000</v>
      </c>
      <c r="D6" s="31">
        <v>2000</v>
      </c>
      <c r="E6" s="31">
        <v>0</v>
      </c>
      <c r="F6" s="31">
        <v>0</v>
      </c>
    </row>
    <row r="7" spans="1:6" x14ac:dyDescent="0.25">
      <c r="A7" s="32" t="s">
        <v>438</v>
      </c>
      <c r="B7" s="32" t="s">
        <v>437</v>
      </c>
      <c r="C7" s="31">
        <v>500</v>
      </c>
      <c r="D7" s="31">
        <v>500</v>
      </c>
      <c r="E7" s="31">
        <v>0</v>
      </c>
      <c r="F7" s="31">
        <v>0</v>
      </c>
    </row>
    <row r="8" spans="1:6" x14ac:dyDescent="0.25">
      <c r="A8" s="32"/>
      <c r="B8" s="32" t="s">
        <v>436</v>
      </c>
      <c r="C8" s="31">
        <v>1615267.52</v>
      </c>
      <c r="D8" s="31">
        <v>2398756.46</v>
      </c>
      <c r="E8" s="33">
        <v>-783488.94</v>
      </c>
      <c r="F8" s="33">
        <v>-32.662296196588464</v>
      </c>
    </row>
    <row r="9" spans="1:6" x14ac:dyDescent="0.25">
      <c r="B9" s="32" t="s">
        <v>435</v>
      </c>
    </row>
    <row r="10" spans="1:6" x14ac:dyDescent="0.25">
      <c r="A10" s="32" t="s">
        <v>434</v>
      </c>
      <c r="B10" s="32" t="s">
        <v>433</v>
      </c>
      <c r="C10" s="31">
        <v>420307.73</v>
      </c>
      <c r="D10" s="31">
        <v>405784.26</v>
      </c>
      <c r="E10" s="31">
        <v>14523.47</v>
      </c>
      <c r="F10" s="31">
        <v>3.5791112252604376</v>
      </c>
    </row>
    <row r="11" spans="1:6" x14ac:dyDescent="0.25">
      <c r="A11" s="32"/>
      <c r="B11" s="32" t="s">
        <v>430</v>
      </c>
      <c r="C11" s="31">
        <v>420307.73</v>
      </c>
      <c r="D11" s="31">
        <v>405784.26</v>
      </c>
      <c r="E11" s="31">
        <v>14523.47</v>
      </c>
      <c r="F11" s="31">
        <v>3.5791112252604376</v>
      </c>
    </row>
    <row r="12" spans="1:6" x14ac:dyDescent="0.25">
      <c r="B12" s="32" t="s">
        <v>429</v>
      </c>
    </row>
    <row r="13" spans="1:6" x14ac:dyDescent="0.25">
      <c r="A13" s="32" t="s">
        <v>428</v>
      </c>
      <c r="B13" s="32" t="s">
        <v>427</v>
      </c>
      <c r="C13" s="33">
        <v>-15130.57</v>
      </c>
      <c r="D13" s="33">
        <v>-15130.57</v>
      </c>
      <c r="E13" s="31">
        <v>0</v>
      </c>
      <c r="F13" s="31">
        <v>0</v>
      </c>
    </row>
    <row r="14" spans="1:6" x14ac:dyDescent="0.25">
      <c r="A14" s="32" t="s">
        <v>426</v>
      </c>
      <c r="B14" s="32" t="s">
        <v>425</v>
      </c>
      <c r="C14" s="33">
        <v>-28159.91</v>
      </c>
      <c r="D14" s="33">
        <v>-18599.3</v>
      </c>
      <c r="E14" s="33">
        <v>-9560.61</v>
      </c>
      <c r="F14" s="33">
        <v>-51.403063556155338</v>
      </c>
    </row>
    <row r="15" spans="1:6" x14ac:dyDescent="0.25">
      <c r="A15" s="32" t="s">
        <v>424</v>
      </c>
      <c r="B15" s="32" t="s">
        <v>423</v>
      </c>
      <c r="C15" s="31">
        <v>1262808.81</v>
      </c>
      <c r="D15" s="31">
        <v>525775.93999999994</v>
      </c>
      <c r="E15" s="31">
        <v>737032.87</v>
      </c>
      <c r="F15" s="31">
        <v>140.18002991920855</v>
      </c>
    </row>
    <row r="16" spans="1:6" x14ac:dyDescent="0.25">
      <c r="A16" s="32"/>
      <c r="B16" s="32" t="s">
        <v>422</v>
      </c>
      <c r="C16" s="31">
        <v>1219518.33</v>
      </c>
      <c r="D16" s="31">
        <v>492046.07</v>
      </c>
      <c r="E16" s="31">
        <v>727472.26</v>
      </c>
      <c r="F16" s="31">
        <v>147.84637137737937</v>
      </c>
    </row>
    <row r="17" spans="1:6" x14ac:dyDescent="0.25">
      <c r="B17" s="32" t="s">
        <v>421</v>
      </c>
    </row>
    <row r="18" spans="1:6" x14ac:dyDescent="0.25">
      <c r="A18" s="32" t="s">
        <v>420</v>
      </c>
      <c r="B18" s="32" t="s">
        <v>419</v>
      </c>
      <c r="C18" s="31">
        <v>1624790.33</v>
      </c>
      <c r="D18" s="31">
        <v>1444746.54</v>
      </c>
      <c r="E18" s="31">
        <v>180043.79</v>
      </c>
      <c r="F18" s="31">
        <v>12.461963743481261</v>
      </c>
    </row>
    <row r="19" spans="1:6" x14ac:dyDescent="0.25">
      <c r="A19" s="32" t="s">
        <v>418</v>
      </c>
      <c r="B19" s="32" t="s">
        <v>417</v>
      </c>
      <c r="C19" s="31">
        <v>323109.05</v>
      </c>
      <c r="D19" s="31">
        <v>379024.97</v>
      </c>
      <c r="E19" s="33">
        <v>-55915.92</v>
      </c>
      <c r="F19" s="33">
        <v>-14.752568940246864</v>
      </c>
    </row>
    <row r="20" spans="1:6" x14ac:dyDescent="0.25">
      <c r="A20" s="32" t="s">
        <v>416</v>
      </c>
      <c r="B20" s="32" t="s">
        <v>415</v>
      </c>
      <c r="C20" s="31">
        <v>147549.85</v>
      </c>
      <c r="D20" s="31">
        <v>94558.35</v>
      </c>
      <c r="E20" s="31">
        <v>52991.5</v>
      </c>
      <c r="F20" s="31">
        <v>56.041058246045964</v>
      </c>
    </row>
    <row r="21" spans="1:6" x14ac:dyDescent="0.25">
      <c r="A21" s="32" t="s">
        <v>414</v>
      </c>
      <c r="B21" s="32" t="s">
        <v>413</v>
      </c>
      <c r="C21" s="31">
        <v>0</v>
      </c>
      <c r="D21" s="31">
        <v>10288.17</v>
      </c>
      <c r="E21" s="33">
        <v>-10288.17</v>
      </c>
      <c r="F21" s="33">
        <v>-100</v>
      </c>
    </row>
    <row r="22" spans="1:6" x14ac:dyDescent="0.25">
      <c r="A22" s="32" t="s">
        <v>412</v>
      </c>
      <c r="B22" s="32" t="s">
        <v>411</v>
      </c>
      <c r="C22" s="31">
        <v>6785.56</v>
      </c>
      <c r="D22" s="31">
        <v>7157.59</v>
      </c>
      <c r="E22" s="33">
        <v>-372.03</v>
      </c>
      <c r="F22" s="33">
        <v>-5.1976992255773249</v>
      </c>
    </row>
    <row r="23" spans="1:6" x14ac:dyDescent="0.25">
      <c r="A23" s="32"/>
      <c r="B23" s="32" t="s">
        <v>410</v>
      </c>
      <c r="C23" s="31">
        <v>2102234.79</v>
      </c>
      <c r="D23" s="31">
        <v>1935775.62</v>
      </c>
      <c r="E23" s="31">
        <v>166459.17000000001</v>
      </c>
      <c r="F23" s="31">
        <v>8.5990942483302888</v>
      </c>
    </row>
    <row r="24" spans="1:6" x14ac:dyDescent="0.25">
      <c r="B24" s="32" t="s">
        <v>409</v>
      </c>
    </row>
    <row r="25" spans="1:6" x14ac:dyDescent="0.25">
      <c r="A25" s="32" t="s">
        <v>408</v>
      </c>
      <c r="B25" s="32" t="s">
        <v>407</v>
      </c>
      <c r="C25" s="31">
        <v>24610.26</v>
      </c>
      <c r="D25" s="31">
        <v>32668.09</v>
      </c>
      <c r="E25" s="33">
        <v>-8057.83</v>
      </c>
      <c r="F25" s="33">
        <v>-24.665751808569158</v>
      </c>
    </row>
    <row r="26" spans="1:6" x14ac:dyDescent="0.25">
      <c r="A26" s="32" t="s">
        <v>406</v>
      </c>
      <c r="B26" s="32" t="s">
        <v>405</v>
      </c>
      <c r="C26" s="31">
        <v>16324.17</v>
      </c>
      <c r="D26" s="31">
        <v>15831.96</v>
      </c>
      <c r="E26" s="31">
        <v>492.21</v>
      </c>
      <c r="F26" s="31">
        <v>3.1089643985962572</v>
      </c>
    </row>
    <row r="27" spans="1:6" x14ac:dyDescent="0.25">
      <c r="A27" s="32" t="s">
        <v>452</v>
      </c>
      <c r="B27" s="32" t="s">
        <v>451</v>
      </c>
      <c r="C27" s="31">
        <v>40193.440000000002</v>
      </c>
      <c r="D27" s="31">
        <v>0</v>
      </c>
      <c r="E27" s="31">
        <v>40193.440000000002</v>
      </c>
      <c r="F27" s="31">
        <v>0</v>
      </c>
    </row>
    <row r="28" spans="1:6" x14ac:dyDescent="0.25">
      <c r="A28" s="32" t="s">
        <v>404</v>
      </c>
      <c r="B28" s="32" t="s">
        <v>403</v>
      </c>
      <c r="C28" s="33">
        <v>-1651.05</v>
      </c>
      <c r="D28" s="33">
        <v>-1936.48</v>
      </c>
      <c r="E28" s="31">
        <v>285.43</v>
      </c>
      <c r="F28" s="31">
        <v>14.739630670081798</v>
      </c>
    </row>
    <row r="29" spans="1:6" x14ac:dyDescent="0.25">
      <c r="A29" s="32" t="s">
        <v>402</v>
      </c>
      <c r="B29" s="32" t="s">
        <v>401</v>
      </c>
      <c r="C29" s="31">
        <v>14902.33</v>
      </c>
      <c r="D29" s="31">
        <v>4550</v>
      </c>
      <c r="E29" s="31">
        <v>10352.33</v>
      </c>
      <c r="F29" s="31">
        <v>227.52373626373625</v>
      </c>
    </row>
    <row r="30" spans="1:6" x14ac:dyDescent="0.25">
      <c r="A30" s="32"/>
      <c r="B30" s="32" t="s">
        <v>400</v>
      </c>
      <c r="C30" s="31">
        <v>94379.15</v>
      </c>
      <c r="D30" s="31">
        <v>51113.57</v>
      </c>
      <c r="E30" s="31">
        <v>43265.58</v>
      </c>
      <c r="F30" s="31">
        <v>84.645975618607736</v>
      </c>
    </row>
    <row r="31" spans="1:6" x14ac:dyDescent="0.25">
      <c r="A31" s="32"/>
      <c r="B31" s="32" t="s">
        <v>399</v>
      </c>
      <c r="C31" s="31">
        <v>5451707.5199999996</v>
      </c>
      <c r="D31" s="31">
        <v>5283475.9800000004</v>
      </c>
      <c r="E31" s="31">
        <v>168231.54</v>
      </c>
      <c r="F31" s="31">
        <v>3.1841072172339091</v>
      </c>
    </row>
    <row r="32" spans="1:6" x14ac:dyDescent="0.25">
      <c r="B32" s="32" t="s">
        <v>398</v>
      </c>
    </row>
    <row r="33" spans="1:6" x14ac:dyDescent="0.25">
      <c r="A33" s="32" t="s">
        <v>397</v>
      </c>
      <c r="B33" s="32" t="s">
        <v>396</v>
      </c>
      <c r="C33" s="31">
        <v>122000</v>
      </c>
      <c r="D33" s="31">
        <v>122000</v>
      </c>
      <c r="E33" s="31">
        <v>0</v>
      </c>
      <c r="F33" s="31">
        <v>0</v>
      </c>
    </row>
    <row r="34" spans="1:6" x14ac:dyDescent="0.25">
      <c r="A34" s="32" t="s">
        <v>395</v>
      </c>
      <c r="B34" s="32" t="s">
        <v>394</v>
      </c>
      <c r="C34" s="31">
        <v>1039840.73</v>
      </c>
      <c r="D34" s="31">
        <v>1039840.73</v>
      </c>
      <c r="E34" s="31">
        <v>0</v>
      </c>
      <c r="F34" s="31">
        <v>0</v>
      </c>
    </row>
    <row r="35" spans="1:6" x14ac:dyDescent="0.25">
      <c r="A35" s="32" t="s">
        <v>393</v>
      </c>
      <c r="B35" s="32" t="s">
        <v>392</v>
      </c>
      <c r="C35" s="31">
        <v>230619.89</v>
      </c>
      <c r="D35" s="31">
        <v>230619.89</v>
      </c>
      <c r="E35" s="31">
        <v>0</v>
      </c>
      <c r="F35" s="31">
        <v>0</v>
      </c>
    </row>
    <row r="36" spans="1:6" x14ac:dyDescent="0.25">
      <c r="A36" s="32" t="s">
        <v>391</v>
      </c>
      <c r="B36" s="32" t="s">
        <v>390</v>
      </c>
      <c r="C36" s="31">
        <v>2156400.06</v>
      </c>
      <c r="D36" s="31">
        <v>2015708.58</v>
      </c>
      <c r="E36" s="31">
        <v>140691.48000000001</v>
      </c>
      <c r="F36" s="31">
        <v>6.9797529958422864</v>
      </c>
    </row>
    <row r="37" spans="1:6" x14ac:dyDescent="0.25">
      <c r="A37" s="32" t="s">
        <v>389</v>
      </c>
      <c r="B37" s="32" t="s">
        <v>388</v>
      </c>
      <c r="C37" s="31">
        <v>96925.38</v>
      </c>
      <c r="D37" s="31">
        <v>96925.38</v>
      </c>
      <c r="E37" s="31">
        <v>0</v>
      </c>
      <c r="F37" s="31">
        <v>0</v>
      </c>
    </row>
    <row r="38" spans="1:6" x14ac:dyDescent="0.25">
      <c r="A38" s="32" t="s">
        <v>387</v>
      </c>
      <c r="B38" s="32" t="s">
        <v>386</v>
      </c>
      <c r="C38" s="31">
        <v>110411.14</v>
      </c>
      <c r="D38" s="31">
        <v>110411.14</v>
      </c>
      <c r="E38" s="31">
        <v>0</v>
      </c>
      <c r="F38" s="31">
        <v>0</v>
      </c>
    </row>
    <row r="39" spans="1:6" x14ac:dyDescent="0.25">
      <c r="A39" s="32" t="s">
        <v>385</v>
      </c>
      <c r="B39" s="32" t="s">
        <v>384</v>
      </c>
      <c r="C39" s="33">
        <v>-3262811</v>
      </c>
      <c r="D39" s="33">
        <v>-3221865.46</v>
      </c>
      <c r="E39" s="33">
        <v>-40945.54</v>
      </c>
      <c r="F39" s="33">
        <v>-1.2708643643983817</v>
      </c>
    </row>
    <row r="40" spans="1:6" x14ac:dyDescent="0.25">
      <c r="A40" s="32" t="s">
        <v>383</v>
      </c>
      <c r="B40" s="32" t="s">
        <v>382</v>
      </c>
      <c r="C40" s="33">
        <v>-96925.38</v>
      </c>
      <c r="D40" s="33">
        <v>-96925.38</v>
      </c>
      <c r="E40" s="31">
        <v>0</v>
      </c>
      <c r="F40" s="31">
        <v>0</v>
      </c>
    </row>
    <row r="41" spans="1:6" x14ac:dyDescent="0.25">
      <c r="A41" s="32"/>
      <c r="B41" s="32" t="s">
        <v>381</v>
      </c>
      <c r="C41" s="31">
        <v>396460.82</v>
      </c>
      <c r="D41" s="31">
        <v>296714.88</v>
      </c>
      <c r="E41" s="31">
        <v>99745.94</v>
      </c>
      <c r="F41" s="31">
        <v>33.616763675620177</v>
      </c>
    </row>
    <row r="42" spans="1:6" x14ac:dyDescent="0.25">
      <c r="A42" s="32"/>
      <c r="B42" s="32" t="s">
        <v>380</v>
      </c>
      <c r="C42" s="31">
        <v>5848168.3399999999</v>
      </c>
      <c r="D42" s="31">
        <v>5580190.8600000003</v>
      </c>
      <c r="E42" s="31">
        <v>267977.48</v>
      </c>
      <c r="F42" s="31">
        <v>4.8022995399838351</v>
      </c>
    </row>
    <row r="43" spans="1:6" x14ac:dyDescent="0.25">
      <c r="B43" s="32" t="s">
        <v>379</v>
      </c>
    </row>
    <row r="44" spans="1:6" x14ac:dyDescent="0.25">
      <c r="B44" s="32" t="s">
        <v>378</v>
      </c>
    </row>
    <row r="45" spans="1:6" x14ac:dyDescent="0.25">
      <c r="A45" s="32" t="s">
        <v>377</v>
      </c>
      <c r="B45" s="32" t="s">
        <v>376</v>
      </c>
      <c r="C45" s="31">
        <v>172939.26</v>
      </c>
      <c r="D45" s="31">
        <v>163543.70000000001</v>
      </c>
      <c r="E45" s="31">
        <v>9395.56</v>
      </c>
      <c r="F45" s="31">
        <v>5.7449843680924424</v>
      </c>
    </row>
    <row r="46" spans="1:6" x14ac:dyDescent="0.25">
      <c r="A46" s="32" t="s">
        <v>375</v>
      </c>
      <c r="B46" s="32" t="s">
        <v>374</v>
      </c>
      <c r="C46" s="31">
        <v>0</v>
      </c>
      <c r="D46" s="33">
        <v>-10190.85</v>
      </c>
      <c r="E46" s="31">
        <v>10190.85</v>
      </c>
      <c r="F46" s="31">
        <v>100</v>
      </c>
    </row>
    <row r="47" spans="1:6" x14ac:dyDescent="0.25">
      <c r="A47" s="32" t="s">
        <v>371</v>
      </c>
      <c r="B47" s="32" t="s">
        <v>370</v>
      </c>
      <c r="C47" s="31">
        <v>3244.16</v>
      </c>
      <c r="D47" s="31">
        <v>45527.87</v>
      </c>
      <c r="E47" s="33">
        <v>-42283.71</v>
      </c>
      <c r="F47" s="33">
        <v>-92.874342682844599</v>
      </c>
    </row>
    <row r="48" spans="1:6" x14ac:dyDescent="0.25">
      <c r="A48" s="32"/>
      <c r="B48" s="32" t="s">
        <v>369</v>
      </c>
      <c r="C48" s="31">
        <v>176183.42</v>
      </c>
      <c r="D48" s="31">
        <v>198880.72</v>
      </c>
      <c r="E48" s="33">
        <v>-22697.3</v>
      </c>
      <c r="F48" s="33">
        <v>-11.412519021451653</v>
      </c>
    </row>
    <row r="49" spans="1:6" x14ac:dyDescent="0.25">
      <c r="B49" s="32" t="s">
        <v>368</v>
      </c>
    </row>
    <row r="50" spans="1:6" x14ac:dyDescent="0.25">
      <c r="B50" s="32" t="s">
        <v>367</v>
      </c>
    </row>
    <row r="51" spans="1:6" x14ac:dyDescent="0.25">
      <c r="B51" s="32" t="s">
        <v>366</v>
      </c>
    </row>
    <row r="52" spans="1:6" x14ac:dyDescent="0.25">
      <c r="A52" s="32" t="s">
        <v>450</v>
      </c>
      <c r="B52" s="32" t="s">
        <v>449</v>
      </c>
      <c r="C52" s="31">
        <v>80822.44</v>
      </c>
      <c r="D52" s="31">
        <v>0</v>
      </c>
      <c r="E52" s="31">
        <v>80822.44</v>
      </c>
      <c r="F52" s="31">
        <v>0</v>
      </c>
    </row>
    <row r="53" spans="1:6" x14ac:dyDescent="0.25">
      <c r="A53" s="32" t="s">
        <v>365</v>
      </c>
      <c r="B53" s="32" t="s">
        <v>364</v>
      </c>
      <c r="C53" s="31">
        <v>85183.16</v>
      </c>
      <c r="D53" s="31">
        <v>126697.82</v>
      </c>
      <c r="E53" s="33">
        <v>-41514.660000000003</v>
      </c>
      <c r="F53" s="33">
        <v>-32.766672702024394</v>
      </c>
    </row>
    <row r="54" spans="1:6" x14ac:dyDescent="0.25">
      <c r="A54" s="32" t="s">
        <v>363</v>
      </c>
      <c r="B54" s="32" t="s">
        <v>362</v>
      </c>
      <c r="C54" s="31">
        <v>12417.99</v>
      </c>
      <c r="D54" s="31">
        <v>14833.24</v>
      </c>
      <c r="E54" s="33">
        <v>-2415.25</v>
      </c>
      <c r="F54" s="33">
        <v>-16.282686722523199</v>
      </c>
    </row>
    <row r="55" spans="1:6" x14ac:dyDescent="0.25">
      <c r="A55" s="32" t="s">
        <v>361</v>
      </c>
      <c r="B55" s="32" t="s">
        <v>360</v>
      </c>
      <c r="C55" s="31">
        <v>75036.460000000006</v>
      </c>
      <c r="D55" s="31">
        <v>95227.53</v>
      </c>
      <c r="E55" s="33">
        <v>-20191.07</v>
      </c>
      <c r="F55" s="33">
        <v>-21.202975652103966</v>
      </c>
    </row>
    <row r="56" spans="1:6" x14ac:dyDescent="0.25">
      <c r="A56" s="32" t="s">
        <v>359</v>
      </c>
      <c r="B56" s="32" t="s">
        <v>358</v>
      </c>
      <c r="C56" s="31">
        <v>38628.5</v>
      </c>
      <c r="D56" s="31">
        <v>22197.97</v>
      </c>
      <c r="E56" s="31">
        <v>16430.53</v>
      </c>
      <c r="F56" s="31">
        <v>74.01816472407161</v>
      </c>
    </row>
    <row r="57" spans="1:6" x14ac:dyDescent="0.25">
      <c r="A57" s="32" t="s">
        <v>357</v>
      </c>
      <c r="B57" s="32" t="s">
        <v>356</v>
      </c>
      <c r="C57" s="31">
        <v>175000</v>
      </c>
      <c r="D57" s="31">
        <v>150000</v>
      </c>
      <c r="E57" s="31">
        <v>25000</v>
      </c>
      <c r="F57" s="31">
        <v>16.666666666666668</v>
      </c>
    </row>
    <row r="58" spans="1:6" x14ac:dyDescent="0.25">
      <c r="A58" s="32"/>
      <c r="B58" s="32" t="s">
        <v>355</v>
      </c>
      <c r="C58" s="31">
        <v>467088.55</v>
      </c>
      <c r="D58" s="31">
        <v>408956.56</v>
      </c>
      <c r="E58" s="31">
        <v>58131.99</v>
      </c>
      <c r="F58" s="31">
        <v>14.214710237194874</v>
      </c>
    </row>
    <row r="59" spans="1:6" x14ac:dyDescent="0.25">
      <c r="A59" s="32"/>
      <c r="B59" s="32" t="s">
        <v>354</v>
      </c>
      <c r="C59" s="31">
        <v>643271.97</v>
      </c>
      <c r="D59" s="31">
        <v>607837.28</v>
      </c>
      <c r="E59" s="31">
        <v>35434.69</v>
      </c>
      <c r="F59" s="31">
        <v>5.8296342073654976</v>
      </c>
    </row>
    <row r="60" spans="1:6" x14ac:dyDescent="0.25">
      <c r="A60" s="32"/>
      <c r="B60" s="32" t="s">
        <v>353</v>
      </c>
      <c r="C60" s="31">
        <v>643271.97</v>
      </c>
      <c r="D60" s="31">
        <v>607837.28</v>
      </c>
      <c r="E60" s="31">
        <v>35434.69</v>
      </c>
      <c r="F60" s="31">
        <v>5.8296342073654976</v>
      </c>
    </row>
    <row r="61" spans="1:6" x14ac:dyDescent="0.25">
      <c r="B61" s="32" t="s">
        <v>352</v>
      </c>
    </row>
    <row r="62" spans="1:6" x14ac:dyDescent="0.25">
      <c r="A62" s="32" t="s">
        <v>514</v>
      </c>
      <c r="B62" s="32" t="s">
        <v>351</v>
      </c>
      <c r="C62" s="31">
        <v>165000</v>
      </c>
      <c r="D62" s="31">
        <v>165000</v>
      </c>
      <c r="E62" s="31">
        <v>0</v>
      </c>
      <c r="F62" s="31">
        <v>0</v>
      </c>
    </row>
    <row r="63" spans="1:6" x14ac:dyDescent="0.25">
      <c r="A63" s="32" t="s">
        <v>515</v>
      </c>
      <c r="B63" s="32" t="s">
        <v>350</v>
      </c>
      <c r="C63" s="33">
        <v>-170000</v>
      </c>
      <c r="D63" s="33">
        <v>-1181600</v>
      </c>
      <c r="E63" s="31">
        <v>1011600</v>
      </c>
      <c r="F63" s="31">
        <v>85.612728503723758</v>
      </c>
    </row>
    <row r="64" spans="1:6" x14ac:dyDescent="0.25">
      <c r="A64" s="32" t="s">
        <v>516</v>
      </c>
      <c r="B64" s="32" t="s">
        <v>349</v>
      </c>
      <c r="C64" s="33">
        <v>-735247.85</v>
      </c>
      <c r="D64" s="33">
        <v>-372450.74</v>
      </c>
      <c r="E64" s="33">
        <v>-362797.11</v>
      </c>
      <c r="F64" s="33">
        <v>-97.408078716664647</v>
      </c>
    </row>
    <row r="65" spans="1:6" x14ac:dyDescent="0.25">
      <c r="A65" s="32" t="s">
        <v>517</v>
      </c>
      <c r="B65" s="32" t="s">
        <v>348</v>
      </c>
      <c r="C65" s="31">
        <v>22533870.239999998</v>
      </c>
      <c r="D65" s="31">
        <v>20977734.739999998</v>
      </c>
      <c r="E65" s="31">
        <v>1556135.5</v>
      </c>
      <c r="F65" s="31">
        <v>7.4180340217229777</v>
      </c>
    </row>
    <row r="66" spans="1:6" x14ac:dyDescent="0.25">
      <c r="A66" s="32" t="s">
        <v>347</v>
      </c>
      <c r="B66" s="32" t="s">
        <v>346</v>
      </c>
      <c r="C66" s="31">
        <v>-17589576.66</v>
      </c>
      <c r="D66" s="31">
        <v>-16172465.92</v>
      </c>
      <c r="E66" s="31">
        <v>1417110.74</v>
      </c>
      <c r="F66" s="31">
        <v>8.7624901917245772</v>
      </c>
    </row>
    <row r="67" spans="1:6" x14ac:dyDescent="0.25">
      <c r="A67" s="32" t="s">
        <v>518</v>
      </c>
      <c r="B67" s="32" t="s">
        <v>345</v>
      </c>
      <c r="C67" s="31">
        <v>1000850.64</v>
      </c>
      <c r="D67" s="31">
        <v>1556135.5</v>
      </c>
      <c r="E67" s="33">
        <v>-555284.86</v>
      </c>
      <c r="F67" s="33">
        <v>-35.6835802537761</v>
      </c>
    </row>
    <row r="68" spans="1:6" x14ac:dyDescent="0.25">
      <c r="A68" s="32"/>
      <c r="B68" s="32" t="s">
        <v>344</v>
      </c>
      <c r="C68" s="31">
        <v>5204896.37</v>
      </c>
      <c r="D68" s="31">
        <v>4972353.58</v>
      </c>
      <c r="E68" s="31">
        <v>232542.79</v>
      </c>
      <c r="F68" s="31">
        <v>4.6767146836729987</v>
      </c>
    </row>
    <row r="69" spans="1:6" x14ac:dyDescent="0.25">
      <c r="A69" s="32"/>
      <c r="B69" s="32" t="s">
        <v>343</v>
      </c>
      <c r="C69" s="31">
        <v>5848168.3399999999</v>
      </c>
      <c r="D69" s="31">
        <v>5580190.8600000003</v>
      </c>
      <c r="E69" s="31">
        <v>267977.48</v>
      </c>
      <c r="F69" s="31">
        <v>4.8022995399838351</v>
      </c>
    </row>
  </sheetData>
  <pageMargins left="0.75" right="0.75" top="1.5" bottom="1" header="0.5" footer="0.5"/>
  <pageSetup orientation="portrait"/>
  <headerFooter alignWithMargins="0">
    <oddHeader xml:space="preserve">&amp;C American Aerospace Controls Inc.
BALANCE SHEET
FOR PERIOD ENDING:  12/31/2023
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62F1-B877-469F-98B6-38478142A8FE}">
  <dimension ref="A1:F73"/>
  <sheetViews>
    <sheetView showGridLines="0" workbookViewId="0"/>
  </sheetViews>
  <sheetFormatPr defaultRowHeight="12.5" x14ac:dyDescent="0.25"/>
  <cols>
    <col min="1" max="1" width="13.7265625" style="26" customWidth="1"/>
    <col min="2" max="2" width="39.7265625" style="26" customWidth="1"/>
    <col min="3" max="5" width="16.7265625" style="26" customWidth="1"/>
    <col min="6" max="6" width="11.7265625" style="26" customWidth="1"/>
    <col min="7" max="256" width="9.1796875" style="26" customWidth="1"/>
    <col min="257" max="16384" width="8.7265625" style="26"/>
  </cols>
  <sheetData>
    <row r="1" spans="1:6" x14ac:dyDescent="0.25">
      <c r="A1" s="34" t="s">
        <v>342</v>
      </c>
      <c r="B1" s="34" t="s">
        <v>341</v>
      </c>
      <c r="C1" s="34" t="s">
        <v>448</v>
      </c>
      <c r="D1" s="34" t="s">
        <v>336</v>
      </c>
      <c r="E1" s="34" t="s">
        <v>337</v>
      </c>
      <c r="F1" s="34" t="s">
        <v>447</v>
      </c>
    </row>
    <row r="2" spans="1:6" x14ac:dyDescent="0.25">
      <c r="B2" s="32" t="s">
        <v>446</v>
      </c>
    </row>
    <row r="3" spans="1:6" x14ac:dyDescent="0.25">
      <c r="B3" s="32" t="s">
        <v>445</v>
      </c>
    </row>
    <row r="4" spans="1:6" x14ac:dyDescent="0.25">
      <c r="A4" s="32" t="s">
        <v>444</v>
      </c>
      <c r="B4" s="32" t="s">
        <v>443</v>
      </c>
      <c r="C4" s="31">
        <v>533754.04</v>
      </c>
      <c r="D4" s="31">
        <v>1598672.4</v>
      </c>
      <c r="E4" s="33">
        <v>-1064918.3600000001</v>
      </c>
      <c r="F4" s="33">
        <v>-66.612669362403452</v>
      </c>
    </row>
    <row r="5" spans="1:6" x14ac:dyDescent="0.25">
      <c r="A5" s="32" t="s">
        <v>442</v>
      </c>
      <c r="B5" s="32" t="s">
        <v>441</v>
      </c>
      <c r="C5" s="31">
        <v>131962.6</v>
      </c>
      <c r="D5" s="31">
        <v>14095.12</v>
      </c>
      <c r="E5" s="31">
        <v>117867.48</v>
      </c>
      <c r="F5" s="31">
        <v>836.22899272939844</v>
      </c>
    </row>
    <row r="6" spans="1:6" x14ac:dyDescent="0.25">
      <c r="A6" s="32" t="s">
        <v>440</v>
      </c>
      <c r="B6" s="32" t="s">
        <v>439</v>
      </c>
      <c r="C6" s="31">
        <v>360982.28</v>
      </c>
      <c r="D6" s="31">
        <v>2000</v>
      </c>
      <c r="E6" s="31">
        <v>358982.28</v>
      </c>
      <c r="F6" s="31">
        <v>17949.114000000001</v>
      </c>
    </row>
    <row r="7" spans="1:6" x14ac:dyDescent="0.25">
      <c r="A7" s="32" t="s">
        <v>438</v>
      </c>
      <c r="B7" s="32" t="s">
        <v>437</v>
      </c>
      <c r="C7" s="31">
        <v>0</v>
      </c>
      <c r="D7" s="31">
        <v>500</v>
      </c>
      <c r="E7" s="33">
        <v>-500</v>
      </c>
      <c r="F7" s="33">
        <v>-100</v>
      </c>
    </row>
    <row r="8" spans="1:6" x14ac:dyDescent="0.25">
      <c r="A8" s="32"/>
      <c r="B8" s="32" t="s">
        <v>436</v>
      </c>
      <c r="C8" s="31">
        <v>1026698.92</v>
      </c>
      <c r="D8" s="31">
        <v>1615267.52</v>
      </c>
      <c r="E8" s="33">
        <v>-588568.6</v>
      </c>
      <c r="F8" s="33">
        <v>-36.437840339908526</v>
      </c>
    </row>
    <row r="9" spans="1:6" x14ac:dyDescent="0.25">
      <c r="B9" s="32" t="s">
        <v>435</v>
      </c>
    </row>
    <row r="10" spans="1:6" x14ac:dyDescent="0.25">
      <c r="A10" s="32" t="s">
        <v>434</v>
      </c>
      <c r="B10" s="32" t="s">
        <v>433</v>
      </c>
      <c r="C10" s="31">
        <v>815111.44</v>
      </c>
      <c r="D10" s="31">
        <v>420307.73</v>
      </c>
      <c r="E10" s="31">
        <v>394803.71</v>
      </c>
      <c r="F10" s="31">
        <v>93.932060207410402</v>
      </c>
    </row>
    <row r="11" spans="1:6" x14ac:dyDescent="0.25">
      <c r="A11" s="32"/>
      <c r="B11" s="32" t="s">
        <v>430</v>
      </c>
      <c r="C11" s="31">
        <v>815111.44</v>
      </c>
      <c r="D11" s="31">
        <v>420307.73</v>
      </c>
      <c r="E11" s="31">
        <v>394803.71</v>
      </c>
      <c r="F11" s="31">
        <v>93.932060207410402</v>
      </c>
    </row>
    <row r="12" spans="1:6" x14ac:dyDescent="0.25">
      <c r="B12" s="32" t="s">
        <v>429</v>
      </c>
    </row>
    <row r="13" spans="1:6" x14ac:dyDescent="0.25">
      <c r="A13" s="32" t="s">
        <v>428</v>
      </c>
      <c r="B13" s="32" t="s">
        <v>427</v>
      </c>
      <c r="C13" s="33">
        <v>-15130.57</v>
      </c>
      <c r="D13" s="33">
        <v>-15130.57</v>
      </c>
      <c r="E13" s="31">
        <v>0</v>
      </c>
      <c r="F13" s="31">
        <v>0</v>
      </c>
    </row>
    <row r="14" spans="1:6" x14ac:dyDescent="0.25">
      <c r="A14" s="32" t="s">
        <v>426</v>
      </c>
      <c r="B14" s="32" t="s">
        <v>425</v>
      </c>
      <c r="C14" s="33">
        <v>-31574.74</v>
      </c>
      <c r="D14" s="33">
        <v>-28159.91</v>
      </c>
      <c r="E14" s="33">
        <v>-3414.83</v>
      </c>
      <c r="F14" s="33">
        <v>-12.126565745416089</v>
      </c>
    </row>
    <row r="15" spans="1:6" x14ac:dyDescent="0.25">
      <c r="A15" s="32" t="s">
        <v>460</v>
      </c>
      <c r="B15" s="32" t="s">
        <v>459</v>
      </c>
      <c r="C15" s="31">
        <v>6098.5</v>
      </c>
      <c r="D15" s="31">
        <v>0</v>
      </c>
      <c r="E15" s="31">
        <v>6098.5</v>
      </c>
      <c r="F15" s="31">
        <v>0</v>
      </c>
    </row>
    <row r="16" spans="1:6" x14ac:dyDescent="0.25">
      <c r="A16" s="32" t="s">
        <v>424</v>
      </c>
      <c r="B16" s="32" t="s">
        <v>423</v>
      </c>
      <c r="C16" s="31">
        <v>1141704.1200000001</v>
      </c>
      <c r="D16" s="31">
        <v>1262808.81</v>
      </c>
      <c r="E16" s="33">
        <v>-121104.69</v>
      </c>
      <c r="F16" s="33">
        <v>-9.590104934412043</v>
      </c>
    </row>
    <row r="17" spans="1:6" x14ac:dyDescent="0.25">
      <c r="A17" s="32"/>
      <c r="B17" s="32" t="s">
        <v>422</v>
      </c>
      <c r="C17" s="31">
        <v>1101097.31</v>
      </c>
      <c r="D17" s="31">
        <v>1219518.33</v>
      </c>
      <c r="E17" s="33">
        <v>-118421.02</v>
      </c>
      <c r="F17" s="33">
        <v>-9.7104747904855184</v>
      </c>
    </row>
    <row r="18" spans="1:6" x14ac:dyDescent="0.25">
      <c r="B18" s="32" t="s">
        <v>421</v>
      </c>
    </row>
    <row r="19" spans="1:6" x14ac:dyDescent="0.25">
      <c r="A19" s="32" t="s">
        <v>420</v>
      </c>
      <c r="B19" s="32" t="s">
        <v>419</v>
      </c>
      <c r="C19" s="31">
        <v>2020749.12</v>
      </c>
      <c r="D19" s="31">
        <v>1624790.33</v>
      </c>
      <c r="E19" s="31">
        <v>395958.79</v>
      </c>
      <c r="F19" s="31">
        <v>24.369839153338635</v>
      </c>
    </row>
    <row r="20" spans="1:6" x14ac:dyDescent="0.25">
      <c r="A20" s="32" t="s">
        <v>418</v>
      </c>
      <c r="B20" s="32" t="s">
        <v>417</v>
      </c>
      <c r="C20" s="31">
        <v>562533.14</v>
      </c>
      <c r="D20" s="31">
        <v>323109.05</v>
      </c>
      <c r="E20" s="31">
        <v>239424.09</v>
      </c>
      <c r="F20" s="31">
        <v>74.100087880546823</v>
      </c>
    </row>
    <row r="21" spans="1:6" x14ac:dyDescent="0.25">
      <c r="A21" s="32" t="s">
        <v>416</v>
      </c>
      <c r="B21" s="32" t="s">
        <v>415</v>
      </c>
      <c r="C21" s="31">
        <v>64035.8</v>
      </c>
      <c r="D21" s="31">
        <v>147549.85</v>
      </c>
      <c r="E21" s="33">
        <v>-83514.05</v>
      </c>
      <c r="F21" s="33">
        <v>-56.600565842662668</v>
      </c>
    </row>
    <row r="22" spans="1:6" x14ac:dyDescent="0.25">
      <c r="A22" s="32" t="s">
        <v>414</v>
      </c>
      <c r="B22" s="32" t="s">
        <v>413</v>
      </c>
      <c r="C22" s="31">
        <v>1263.73</v>
      </c>
      <c r="D22" s="31">
        <v>0</v>
      </c>
      <c r="E22" s="31">
        <v>1263.73</v>
      </c>
      <c r="F22" s="31">
        <v>0</v>
      </c>
    </row>
    <row r="23" spans="1:6" x14ac:dyDescent="0.25">
      <c r="A23" s="32" t="s">
        <v>412</v>
      </c>
      <c r="B23" s="32" t="s">
        <v>411</v>
      </c>
      <c r="C23" s="31">
        <v>7186.2</v>
      </c>
      <c r="D23" s="31">
        <v>6785.56</v>
      </c>
      <c r="E23" s="31">
        <v>400.64</v>
      </c>
      <c r="F23" s="31">
        <v>5.9043026662500964</v>
      </c>
    </row>
    <row r="24" spans="1:6" x14ac:dyDescent="0.25">
      <c r="A24" s="32"/>
      <c r="B24" s="32" t="s">
        <v>410</v>
      </c>
      <c r="C24" s="31">
        <v>2655767.9900000002</v>
      </c>
      <c r="D24" s="31">
        <v>2102234.79</v>
      </c>
      <c r="E24" s="31">
        <v>553533.19999999995</v>
      </c>
      <c r="F24" s="31">
        <v>26.330703051489316</v>
      </c>
    </row>
    <row r="25" spans="1:6" x14ac:dyDescent="0.25">
      <c r="B25" s="32" t="s">
        <v>409</v>
      </c>
    </row>
    <row r="26" spans="1:6" x14ac:dyDescent="0.25">
      <c r="A26" s="32" t="s">
        <v>408</v>
      </c>
      <c r="B26" s="32" t="s">
        <v>407</v>
      </c>
      <c r="C26" s="31">
        <v>31961.5</v>
      </c>
      <c r="D26" s="31">
        <v>24610.26</v>
      </c>
      <c r="E26" s="31">
        <v>7351.24</v>
      </c>
      <c r="F26" s="31">
        <v>29.87063119203129</v>
      </c>
    </row>
    <row r="27" spans="1:6" x14ac:dyDescent="0.25">
      <c r="A27" s="32" t="s">
        <v>458</v>
      </c>
      <c r="B27" s="32" t="s">
        <v>457</v>
      </c>
      <c r="C27" s="31">
        <v>2474.1999999999998</v>
      </c>
      <c r="D27" s="31">
        <v>0</v>
      </c>
      <c r="E27" s="31">
        <v>2474.1999999999998</v>
      </c>
      <c r="F27" s="31">
        <v>0</v>
      </c>
    </row>
    <row r="28" spans="1:6" x14ac:dyDescent="0.25">
      <c r="A28" s="32" t="s">
        <v>406</v>
      </c>
      <c r="B28" s="32" t="s">
        <v>405</v>
      </c>
      <c r="C28" s="31">
        <v>19159.86</v>
      </c>
      <c r="D28" s="31">
        <v>16324.17</v>
      </c>
      <c r="E28" s="31">
        <v>2835.69</v>
      </c>
      <c r="F28" s="31">
        <v>17.371112895785821</v>
      </c>
    </row>
    <row r="29" spans="1:6" x14ac:dyDescent="0.25">
      <c r="A29" s="32" t="s">
        <v>452</v>
      </c>
      <c r="B29" s="32" t="s">
        <v>451</v>
      </c>
      <c r="C29" s="31">
        <v>4173.09</v>
      </c>
      <c r="D29" s="31">
        <v>40193.440000000002</v>
      </c>
      <c r="E29" s="33">
        <v>-36020.35</v>
      </c>
      <c r="F29" s="33">
        <v>-89.617484843297802</v>
      </c>
    </row>
    <row r="30" spans="1:6" x14ac:dyDescent="0.25">
      <c r="A30" s="32" t="s">
        <v>404</v>
      </c>
      <c r="B30" s="32" t="s">
        <v>403</v>
      </c>
      <c r="C30" s="33">
        <v>-1341.64</v>
      </c>
      <c r="D30" s="33">
        <v>-1651.05</v>
      </c>
      <c r="E30" s="31">
        <v>309.41000000000003</v>
      </c>
      <c r="F30" s="31">
        <v>18.740195633081978</v>
      </c>
    </row>
    <row r="31" spans="1:6" x14ac:dyDescent="0.25">
      <c r="A31" s="32" t="s">
        <v>402</v>
      </c>
      <c r="B31" s="32" t="s">
        <v>401</v>
      </c>
      <c r="C31" s="31">
        <v>0</v>
      </c>
      <c r="D31" s="31">
        <v>14902.33</v>
      </c>
      <c r="E31" s="33">
        <v>-14902.33</v>
      </c>
      <c r="F31" s="33">
        <v>-100</v>
      </c>
    </row>
    <row r="32" spans="1:6" x14ac:dyDescent="0.25">
      <c r="A32" s="32"/>
      <c r="B32" s="32" t="s">
        <v>400</v>
      </c>
      <c r="C32" s="31">
        <v>56427.01</v>
      </c>
      <c r="D32" s="31">
        <v>94379.15</v>
      </c>
      <c r="E32" s="33">
        <v>-37952.14</v>
      </c>
      <c r="F32" s="33">
        <v>-40.212419798228737</v>
      </c>
    </row>
    <row r="33" spans="1:6" x14ac:dyDescent="0.25">
      <c r="A33" s="32"/>
      <c r="B33" s="32" t="s">
        <v>399</v>
      </c>
      <c r="C33" s="31">
        <v>5655102.6699999999</v>
      </c>
      <c r="D33" s="31">
        <v>5451707.5199999996</v>
      </c>
      <c r="E33" s="31">
        <v>203395.15</v>
      </c>
      <c r="F33" s="31">
        <v>3.7308522009632683</v>
      </c>
    </row>
    <row r="34" spans="1:6" x14ac:dyDescent="0.25">
      <c r="B34" s="32" t="s">
        <v>398</v>
      </c>
    </row>
    <row r="35" spans="1:6" x14ac:dyDescent="0.25">
      <c r="A35" s="32" t="s">
        <v>397</v>
      </c>
      <c r="B35" s="32" t="s">
        <v>396</v>
      </c>
      <c r="C35" s="31">
        <v>122000</v>
      </c>
      <c r="D35" s="31">
        <v>122000</v>
      </c>
      <c r="E35" s="31">
        <v>0</v>
      </c>
      <c r="F35" s="31">
        <v>0</v>
      </c>
    </row>
    <row r="36" spans="1:6" x14ac:dyDescent="0.25">
      <c r="A36" s="32" t="s">
        <v>395</v>
      </c>
      <c r="B36" s="32" t="s">
        <v>394</v>
      </c>
      <c r="C36" s="31">
        <v>1039840.73</v>
      </c>
      <c r="D36" s="31">
        <v>1039840.73</v>
      </c>
      <c r="E36" s="31">
        <v>0</v>
      </c>
      <c r="F36" s="31">
        <v>0</v>
      </c>
    </row>
    <row r="37" spans="1:6" x14ac:dyDescent="0.25">
      <c r="A37" s="32" t="s">
        <v>393</v>
      </c>
      <c r="B37" s="32" t="s">
        <v>392</v>
      </c>
      <c r="C37" s="31">
        <v>270383.64</v>
      </c>
      <c r="D37" s="31">
        <v>230619.89</v>
      </c>
      <c r="E37" s="31">
        <v>39763.75</v>
      </c>
      <c r="F37" s="31">
        <v>17.242116454049128</v>
      </c>
    </row>
    <row r="38" spans="1:6" x14ac:dyDescent="0.25">
      <c r="A38" s="32" t="s">
        <v>391</v>
      </c>
      <c r="B38" s="32" t="s">
        <v>390</v>
      </c>
      <c r="C38" s="31">
        <v>2162584.66</v>
      </c>
      <c r="D38" s="31">
        <v>2156400.06</v>
      </c>
      <c r="E38" s="31">
        <v>6184.6</v>
      </c>
      <c r="F38" s="31">
        <v>0.28680206955661097</v>
      </c>
    </row>
    <row r="39" spans="1:6" x14ac:dyDescent="0.25">
      <c r="A39" s="32" t="s">
        <v>456</v>
      </c>
      <c r="B39" s="32" t="s">
        <v>455</v>
      </c>
      <c r="C39" s="31">
        <v>61187.02</v>
      </c>
      <c r="D39" s="31">
        <v>0</v>
      </c>
      <c r="E39" s="31">
        <v>61187.02</v>
      </c>
      <c r="F39" s="31">
        <v>0</v>
      </c>
    </row>
    <row r="40" spans="1:6" x14ac:dyDescent="0.25">
      <c r="A40" s="32" t="s">
        <v>389</v>
      </c>
      <c r="B40" s="32" t="s">
        <v>388</v>
      </c>
      <c r="C40" s="31">
        <v>96925.38</v>
      </c>
      <c r="D40" s="31">
        <v>96925.38</v>
      </c>
      <c r="E40" s="31">
        <v>0</v>
      </c>
      <c r="F40" s="31">
        <v>0</v>
      </c>
    </row>
    <row r="41" spans="1:6" x14ac:dyDescent="0.25">
      <c r="A41" s="32" t="s">
        <v>387</v>
      </c>
      <c r="B41" s="32" t="s">
        <v>386</v>
      </c>
      <c r="C41" s="31">
        <v>0</v>
      </c>
      <c r="D41" s="31">
        <v>110411.14</v>
      </c>
      <c r="E41" s="33">
        <v>-110411.14</v>
      </c>
      <c r="F41" s="33">
        <v>-100</v>
      </c>
    </row>
    <row r="42" spans="1:6" x14ac:dyDescent="0.25">
      <c r="A42" s="32" t="s">
        <v>385</v>
      </c>
      <c r="B42" s="32" t="s">
        <v>384</v>
      </c>
      <c r="C42" s="33">
        <v>-3322429</v>
      </c>
      <c r="D42" s="33">
        <v>-3262811</v>
      </c>
      <c r="E42" s="33">
        <v>-59618</v>
      </c>
      <c r="F42" s="33">
        <v>-1.8271974686857437</v>
      </c>
    </row>
    <row r="43" spans="1:6" x14ac:dyDescent="0.25">
      <c r="A43" s="32" t="s">
        <v>383</v>
      </c>
      <c r="B43" s="32" t="s">
        <v>382</v>
      </c>
      <c r="C43" s="33">
        <v>-96925.38</v>
      </c>
      <c r="D43" s="33">
        <v>-96925.38</v>
      </c>
      <c r="E43" s="31">
        <v>0</v>
      </c>
      <c r="F43" s="31">
        <v>0</v>
      </c>
    </row>
    <row r="44" spans="1:6" x14ac:dyDescent="0.25">
      <c r="A44" s="32"/>
      <c r="B44" s="32" t="s">
        <v>381</v>
      </c>
      <c r="C44" s="31">
        <v>333567.05</v>
      </c>
      <c r="D44" s="31">
        <v>396460.82</v>
      </c>
      <c r="E44" s="33">
        <v>-62893.77</v>
      </c>
      <c r="F44" s="33">
        <v>-15.863804650356117</v>
      </c>
    </row>
    <row r="45" spans="1:6" x14ac:dyDescent="0.25">
      <c r="A45" s="32"/>
      <c r="B45" s="32" t="s">
        <v>380</v>
      </c>
      <c r="C45" s="31">
        <v>5988669.7199999997</v>
      </c>
      <c r="D45" s="31">
        <v>5848168.3399999999</v>
      </c>
      <c r="E45" s="31">
        <v>140501.38</v>
      </c>
      <c r="F45" s="31">
        <v>2.402485219842355</v>
      </c>
    </row>
    <row r="46" spans="1:6" x14ac:dyDescent="0.25">
      <c r="B46" s="32" t="s">
        <v>379</v>
      </c>
    </row>
    <row r="47" spans="1:6" x14ac:dyDescent="0.25">
      <c r="B47" s="32" t="s">
        <v>378</v>
      </c>
    </row>
    <row r="48" spans="1:6" x14ac:dyDescent="0.25">
      <c r="A48" s="32" t="s">
        <v>377</v>
      </c>
      <c r="B48" s="32" t="s">
        <v>376</v>
      </c>
      <c r="C48" s="31">
        <v>106538.51</v>
      </c>
      <c r="D48" s="31">
        <v>172939.26</v>
      </c>
      <c r="E48" s="33">
        <v>-66400.75</v>
      </c>
      <c r="F48" s="33">
        <v>-38.395416980505182</v>
      </c>
    </row>
    <row r="49" spans="1:6" x14ac:dyDescent="0.25">
      <c r="A49" s="32" t="s">
        <v>375</v>
      </c>
      <c r="B49" s="32" t="s">
        <v>374</v>
      </c>
      <c r="C49" s="33">
        <v>-0.6</v>
      </c>
      <c r="D49" s="31">
        <v>0</v>
      </c>
      <c r="E49" s="33">
        <v>-0.6</v>
      </c>
      <c r="F49" s="31">
        <v>0</v>
      </c>
    </row>
    <row r="50" spans="1:6" x14ac:dyDescent="0.25">
      <c r="A50" s="32" t="s">
        <v>371</v>
      </c>
      <c r="B50" s="32" t="s">
        <v>370</v>
      </c>
      <c r="C50" s="31">
        <v>9048.5</v>
      </c>
      <c r="D50" s="31">
        <v>3244.16</v>
      </c>
      <c r="E50" s="31">
        <v>5804.34</v>
      </c>
      <c r="F50" s="31">
        <v>178.91657624778063</v>
      </c>
    </row>
    <row r="51" spans="1:6" x14ac:dyDescent="0.25">
      <c r="A51" s="32"/>
      <c r="B51" s="32" t="s">
        <v>369</v>
      </c>
      <c r="C51" s="31">
        <v>115586.41</v>
      </c>
      <c r="D51" s="31">
        <v>176183.42</v>
      </c>
      <c r="E51" s="33">
        <v>-60597.01</v>
      </c>
      <c r="F51" s="33">
        <v>-34.394275011803039</v>
      </c>
    </row>
    <row r="52" spans="1:6" x14ac:dyDescent="0.25">
      <c r="B52" s="32" t="s">
        <v>368</v>
      </c>
    </row>
    <row r="53" spans="1:6" x14ac:dyDescent="0.25">
      <c r="B53" s="32" t="s">
        <v>367</v>
      </c>
    </row>
    <row r="54" spans="1:6" x14ac:dyDescent="0.25">
      <c r="B54" s="32" t="s">
        <v>366</v>
      </c>
    </row>
    <row r="55" spans="1:6" x14ac:dyDescent="0.25">
      <c r="A55" s="32" t="s">
        <v>454</v>
      </c>
      <c r="B55" s="32" t="s">
        <v>453</v>
      </c>
      <c r="C55" s="31">
        <v>0.01</v>
      </c>
      <c r="D55" s="31">
        <v>0</v>
      </c>
      <c r="E55" s="31">
        <v>0.01</v>
      </c>
      <c r="F55" s="31">
        <v>0</v>
      </c>
    </row>
    <row r="56" spans="1:6" x14ac:dyDescent="0.25">
      <c r="A56" s="32" t="s">
        <v>450</v>
      </c>
      <c r="B56" s="32" t="s">
        <v>449</v>
      </c>
      <c r="C56" s="31">
        <v>66272.92</v>
      </c>
      <c r="D56" s="31">
        <v>80822.44</v>
      </c>
      <c r="E56" s="33">
        <v>-14549.52</v>
      </c>
      <c r="F56" s="33">
        <v>-18.001832164433541</v>
      </c>
    </row>
    <row r="57" spans="1:6" x14ac:dyDescent="0.25">
      <c r="A57" s="32" t="s">
        <v>365</v>
      </c>
      <c r="B57" s="32" t="s">
        <v>364</v>
      </c>
      <c r="C57" s="31">
        <v>37510.28</v>
      </c>
      <c r="D57" s="31">
        <v>85183.16</v>
      </c>
      <c r="E57" s="33">
        <v>-47672.88</v>
      </c>
      <c r="F57" s="33">
        <v>-55.96514616269225</v>
      </c>
    </row>
    <row r="58" spans="1:6" x14ac:dyDescent="0.25">
      <c r="A58" s="32" t="s">
        <v>363</v>
      </c>
      <c r="B58" s="32" t="s">
        <v>362</v>
      </c>
      <c r="C58" s="31">
        <v>12724.56</v>
      </c>
      <c r="D58" s="31">
        <v>12417.99</v>
      </c>
      <c r="E58" s="31">
        <v>306.57</v>
      </c>
      <c r="F58" s="31">
        <v>2.4687570210637952</v>
      </c>
    </row>
    <row r="59" spans="1:6" x14ac:dyDescent="0.25">
      <c r="A59" s="32" t="s">
        <v>361</v>
      </c>
      <c r="B59" s="32" t="s">
        <v>360</v>
      </c>
      <c r="C59" s="31">
        <v>114875.16</v>
      </c>
      <c r="D59" s="31">
        <v>75036.460000000006</v>
      </c>
      <c r="E59" s="31">
        <v>39838.699999999997</v>
      </c>
      <c r="F59" s="31">
        <v>53.092456653738729</v>
      </c>
    </row>
    <row r="60" spans="1:6" x14ac:dyDescent="0.25">
      <c r="A60" s="32" t="s">
        <v>359</v>
      </c>
      <c r="B60" s="32" t="s">
        <v>358</v>
      </c>
      <c r="C60" s="31">
        <v>40809.629999999997</v>
      </c>
      <c r="D60" s="31">
        <v>38628.5</v>
      </c>
      <c r="E60" s="31">
        <v>2181.13</v>
      </c>
      <c r="F60" s="31">
        <v>5.6464268609964154</v>
      </c>
    </row>
    <row r="61" spans="1:6" x14ac:dyDescent="0.25">
      <c r="A61" s="32" t="s">
        <v>357</v>
      </c>
      <c r="B61" s="32" t="s">
        <v>356</v>
      </c>
      <c r="C61" s="31">
        <v>50000</v>
      </c>
      <c r="D61" s="31">
        <v>175000</v>
      </c>
      <c r="E61" s="33">
        <v>-125000</v>
      </c>
      <c r="F61" s="33">
        <v>-71.428571428571431</v>
      </c>
    </row>
    <row r="62" spans="1:6" x14ac:dyDescent="0.25">
      <c r="A62" s="32"/>
      <c r="B62" s="32" t="s">
        <v>355</v>
      </c>
      <c r="C62" s="31">
        <v>322192.56</v>
      </c>
      <c r="D62" s="31">
        <v>467088.55</v>
      </c>
      <c r="E62" s="33">
        <v>-144895.99</v>
      </c>
      <c r="F62" s="33">
        <v>-31.021096535121661</v>
      </c>
    </row>
    <row r="63" spans="1:6" x14ac:dyDescent="0.25">
      <c r="A63" s="32"/>
      <c r="B63" s="32" t="s">
        <v>354</v>
      </c>
      <c r="C63" s="31">
        <v>437778.97</v>
      </c>
      <c r="D63" s="31">
        <v>643271.97</v>
      </c>
      <c r="E63" s="33">
        <v>-205493</v>
      </c>
      <c r="F63" s="33">
        <v>-31.94496411836505</v>
      </c>
    </row>
    <row r="64" spans="1:6" x14ac:dyDescent="0.25">
      <c r="A64" s="32"/>
      <c r="B64" s="32" t="s">
        <v>353</v>
      </c>
      <c r="C64" s="31">
        <v>437778.97</v>
      </c>
      <c r="D64" s="31">
        <v>643271.97</v>
      </c>
      <c r="E64" s="33">
        <v>-205493</v>
      </c>
      <c r="F64" s="33">
        <v>-31.94496411836505</v>
      </c>
    </row>
    <row r="65" spans="1:6" x14ac:dyDescent="0.25">
      <c r="B65" s="32" t="s">
        <v>352</v>
      </c>
    </row>
    <row r="66" spans="1:6" x14ac:dyDescent="0.25">
      <c r="A66" s="32" t="s">
        <v>514</v>
      </c>
      <c r="B66" s="32" t="s">
        <v>351</v>
      </c>
      <c r="C66" s="31">
        <v>165000</v>
      </c>
      <c r="D66" s="31">
        <v>165000</v>
      </c>
      <c r="E66" s="31">
        <v>0</v>
      </c>
      <c r="F66" s="31">
        <v>0</v>
      </c>
    </row>
    <row r="67" spans="1:6" x14ac:dyDescent="0.25">
      <c r="A67" s="32" t="s">
        <v>515</v>
      </c>
      <c r="B67" s="32" t="s">
        <v>350</v>
      </c>
      <c r="C67" s="31">
        <v>0</v>
      </c>
      <c r="D67" s="33">
        <v>-170000</v>
      </c>
      <c r="E67" s="31">
        <v>170000</v>
      </c>
      <c r="F67" s="31">
        <v>100</v>
      </c>
    </row>
    <row r="68" spans="1:6" x14ac:dyDescent="0.25">
      <c r="A68" s="32" t="s">
        <v>516</v>
      </c>
      <c r="B68" s="32" t="s">
        <v>349</v>
      </c>
      <c r="C68" s="31">
        <v>0</v>
      </c>
      <c r="D68" s="33">
        <v>-735247.85</v>
      </c>
      <c r="E68" s="31">
        <v>735247.85</v>
      </c>
      <c r="F68" s="31">
        <v>100</v>
      </c>
    </row>
    <row r="69" spans="1:6" x14ac:dyDescent="0.25">
      <c r="A69" s="32" t="s">
        <v>517</v>
      </c>
      <c r="B69" s="32" t="s">
        <v>348</v>
      </c>
      <c r="C69" s="31">
        <v>23534720.879999999</v>
      </c>
      <c r="D69" s="31">
        <v>22533870.239999998</v>
      </c>
      <c r="E69" s="31">
        <v>1000850.64</v>
      </c>
      <c r="F69" s="31">
        <v>4.4415390225483078</v>
      </c>
    </row>
    <row r="70" spans="1:6" x14ac:dyDescent="0.25">
      <c r="A70" s="32" t="s">
        <v>347</v>
      </c>
      <c r="B70" s="32" t="s">
        <v>346</v>
      </c>
      <c r="C70" s="31">
        <v>-18370064.600000001</v>
      </c>
      <c r="D70" s="31">
        <v>-17589576.66</v>
      </c>
      <c r="E70" s="31">
        <v>780487.94</v>
      </c>
      <c r="F70" s="31">
        <v>4.437218445256204</v>
      </c>
    </row>
    <row r="71" spans="1:6" x14ac:dyDescent="0.25">
      <c r="A71" s="32" t="s">
        <v>518</v>
      </c>
      <c r="B71" s="32" t="s">
        <v>345</v>
      </c>
      <c r="C71" s="31">
        <v>221234.47</v>
      </c>
      <c r="D71" s="31">
        <v>1000850.64</v>
      </c>
      <c r="E71" s="33">
        <v>-779616.17</v>
      </c>
      <c r="F71" s="33">
        <v>-77.895356094291941</v>
      </c>
    </row>
    <row r="72" spans="1:6" x14ac:dyDescent="0.25">
      <c r="A72" s="32"/>
      <c r="B72" s="32" t="s">
        <v>344</v>
      </c>
      <c r="C72" s="31">
        <v>5550890.75</v>
      </c>
      <c r="D72" s="31">
        <v>5204896.37</v>
      </c>
      <c r="E72" s="31">
        <v>345994.38</v>
      </c>
      <c r="F72" s="31">
        <v>6.6474787470168204</v>
      </c>
    </row>
    <row r="73" spans="1:6" x14ac:dyDescent="0.25">
      <c r="A73" s="32"/>
      <c r="B73" s="32" t="s">
        <v>343</v>
      </c>
      <c r="C73" s="31">
        <v>5988669.7199999997</v>
      </c>
      <c r="D73" s="31">
        <v>5848168.3399999999</v>
      </c>
      <c r="E73" s="31">
        <v>140501.38</v>
      </c>
      <c r="F73" s="31">
        <v>2.402485219842355</v>
      </c>
    </row>
  </sheetData>
  <pageMargins left="0.75" right="0.75" top="1.5" bottom="1" header="0.5" footer="0.5"/>
  <pageSetup orientation="portrait"/>
  <headerFooter alignWithMargins="0">
    <oddHeader xml:space="preserve">&amp;C American Aerospace Controls Inc.
BALANCE SHEET
FOR PERIOD ENDING:  12/31/2024
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4E11-C025-4FDF-B6C0-E235EFE3C168}">
  <dimension ref="A1:F73"/>
  <sheetViews>
    <sheetView showGridLines="0" workbookViewId="0"/>
  </sheetViews>
  <sheetFormatPr defaultRowHeight="12.5" x14ac:dyDescent="0.25"/>
  <cols>
    <col min="1" max="1" width="13.7265625" style="26" customWidth="1"/>
    <col min="2" max="2" width="39.7265625" style="26" customWidth="1"/>
    <col min="3" max="4" width="16.7265625" style="26" customWidth="1"/>
    <col min="5" max="5" width="14.7265625" style="26" customWidth="1"/>
    <col min="6" max="6" width="10.7265625" style="26" customWidth="1"/>
    <col min="7" max="256" width="9.1796875" style="26" customWidth="1"/>
    <col min="257" max="16384" width="8.7265625" style="26"/>
  </cols>
  <sheetData>
    <row r="1" spans="1:6" x14ac:dyDescent="0.25">
      <c r="A1" s="34" t="s">
        <v>342</v>
      </c>
      <c r="B1" s="34" t="s">
        <v>341</v>
      </c>
      <c r="C1" s="34" t="s">
        <v>448</v>
      </c>
      <c r="D1" s="34" t="s">
        <v>336</v>
      </c>
      <c r="E1" s="34" t="s">
        <v>337</v>
      </c>
      <c r="F1" s="34" t="s">
        <v>447</v>
      </c>
    </row>
    <row r="2" spans="1:6" x14ac:dyDescent="0.25">
      <c r="B2" s="32" t="s">
        <v>446</v>
      </c>
    </row>
    <row r="3" spans="1:6" x14ac:dyDescent="0.25">
      <c r="B3" s="32" t="s">
        <v>445</v>
      </c>
    </row>
    <row r="4" spans="1:6" x14ac:dyDescent="0.25">
      <c r="A4" s="32" t="s">
        <v>444</v>
      </c>
      <c r="B4" s="32" t="s">
        <v>443</v>
      </c>
      <c r="C4" s="31">
        <v>382938.75</v>
      </c>
      <c r="D4" s="31">
        <v>1036066.42</v>
      </c>
      <c r="E4" s="33">
        <v>-653127.67000000004</v>
      </c>
      <c r="F4" s="33">
        <v>-63.039169824652745</v>
      </c>
    </row>
    <row r="5" spans="1:6" x14ac:dyDescent="0.25">
      <c r="A5" s="32" t="s">
        <v>442</v>
      </c>
      <c r="B5" s="32" t="s">
        <v>441</v>
      </c>
      <c r="C5" s="31">
        <v>116237.34</v>
      </c>
      <c r="D5" s="31">
        <v>71935.39</v>
      </c>
      <c r="E5" s="31">
        <v>44301.95</v>
      </c>
      <c r="F5" s="31">
        <v>61.585750768849657</v>
      </c>
    </row>
    <row r="6" spans="1:6" x14ac:dyDescent="0.25">
      <c r="A6" s="32" t="s">
        <v>440</v>
      </c>
      <c r="B6" s="32" t="s">
        <v>439</v>
      </c>
      <c r="C6" s="31">
        <v>81142.259999999995</v>
      </c>
      <c r="D6" s="31">
        <v>13609.7</v>
      </c>
      <c r="E6" s="31">
        <v>67532.56</v>
      </c>
      <c r="F6" s="31">
        <v>496.2090273848799</v>
      </c>
    </row>
    <row r="7" spans="1:6" x14ac:dyDescent="0.25">
      <c r="A7" s="32" t="s">
        <v>438</v>
      </c>
      <c r="B7" s="32" t="s">
        <v>437</v>
      </c>
      <c r="C7" s="31">
        <v>0</v>
      </c>
      <c r="D7" s="31">
        <v>500</v>
      </c>
      <c r="E7" s="33">
        <v>-500</v>
      </c>
      <c r="F7" s="33">
        <v>-100</v>
      </c>
    </row>
    <row r="8" spans="1:6" x14ac:dyDescent="0.25">
      <c r="A8" s="32"/>
      <c r="B8" s="32" t="s">
        <v>436</v>
      </c>
      <c r="C8" s="31">
        <v>580318.35</v>
      </c>
      <c r="D8" s="31">
        <v>1122111.51</v>
      </c>
      <c r="E8" s="33">
        <v>-541793.16</v>
      </c>
      <c r="F8" s="33">
        <v>-48.283361784605518</v>
      </c>
    </row>
    <row r="9" spans="1:6" x14ac:dyDescent="0.25">
      <c r="B9" s="32" t="s">
        <v>435</v>
      </c>
    </row>
    <row r="10" spans="1:6" x14ac:dyDescent="0.25">
      <c r="A10" s="32" t="s">
        <v>434</v>
      </c>
      <c r="B10" s="32" t="s">
        <v>433</v>
      </c>
      <c r="C10" s="31">
        <v>1723864.36</v>
      </c>
      <c r="D10" s="31">
        <v>432268.06</v>
      </c>
      <c r="E10" s="31">
        <v>1291596.3</v>
      </c>
      <c r="F10" s="31">
        <v>298.79521979949197</v>
      </c>
    </row>
    <row r="11" spans="1:6" x14ac:dyDescent="0.25">
      <c r="A11" s="32"/>
      <c r="B11" s="32" t="s">
        <v>430</v>
      </c>
      <c r="C11" s="31">
        <v>1723864.36</v>
      </c>
      <c r="D11" s="31">
        <v>432268.06</v>
      </c>
      <c r="E11" s="31">
        <v>1291596.3</v>
      </c>
      <c r="F11" s="31">
        <v>298.79521979949197</v>
      </c>
    </row>
    <row r="12" spans="1:6" x14ac:dyDescent="0.25">
      <c r="B12" s="32" t="s">
        <v>429</v>
      </c>
    </row>
    <row r="13" spans="1:6" x14ac:dyDescent="0.25">
      <c r="A13" s="32" t="s">
        <v>428</v>
      </c>
      <c r="B13" s="32" t="s">
        <v>427</v>
      </c>
      <c r="C13" s="33">
        <v>-15130.57</v>
      </c>
      <c r="D13" s="33">
        <v>-15130.57</v>
      </c>
      <c r="E13" s="31">
        <v>0</v>
      </c>
      <c r="F13" s="31">
        <v>0</v>
      </c>
    </row>
    <row r="14" spans="1:6" x14ac:dyDescent="0.25">
      <c r="A14" s="32" t="s">
        <v>426</v>
      </c>
      <c r="B14" s="32" t="s">
        <v>425</v>
      </c>
      <c r="C14" s="33">
        <v>-19542.759999999998</v>
      </c>
      <c r="D14" s="33">
        <v>-5791.64</v>
      </c>
      <c r="E14" s="33">
        <v>-13751.12</v>
      </c>
      <c r="F14" s="33">
        <v>-237.43050327713738</v>
      </c>
    </row>
    <row r="15" spans="1:6" x14ac:dyDescent="0.25">
      <c r="A15" s="32" t="s">
        <v>424</v>
      </c>
      <c r="B15" s="32" t="s">
        <v>423</v>
      </c>
      <c r="C15" s="31">
        <v>437988.79</v>
      </c>
      <c r="D15" s="31">
        <v>341789.78</v>
      </c>
      <c r="E15" s="31">
        <v>96199.01</v>
      </c>
      <c r="F15" s="31">
        <v>28.145666028984248</v>
      </c>
    </row>
    <row r="16" spans="1:6" x14ac:dyDescent="0.25">
      <c r="A16" s="32"/>
      <c r="B16" s="32" t="s">
        <v>422</v>
      </c>
      <c r="C16" s="31">
        <v>403315.46</v>
      </c>
      <c r="D16" s="31">
        <v>320867.57</v>
      </c>
      <c r="E16" s="31">
        <v>82447.89</v>
      </c>
      <c r="F16" s="31">
        <v>25.695301647343168</v>
      </c>
    </row>
    <row r="17" spans="1:6" x14ac:dyDescent="0.25">
      <c r="B17" s="32" t="s">
        <v>421</v>
      </c>
    </row>
    <row r="18" spans="1:6" x14ac:dyDescent="0.25">
      <c r="A18" s="32" t="s">
        <v>420</v>
      </c>
      <c r="B18" s="32" t="s">
        <v>419</v>
      </c>
      <c r="C18" s="31">
        <v>2080333.45</v>
      </c>
      <c r="D18" s="31">
        <v>1813398.54</v>
      </c>
      <c r="E18" s="31">
        <v>266934.90999999997</v>
      </c>
      <c r="F18" s="31">
        <v>14.720145853872806</v>
      </c>
    </row>
    <row r="19" spans="1:6" x14ac:dyDescent="0.25">
      <c r="A19" s="32" t="s">
        <v>418</v>
      </c>
      <c r="B19" s="32" t="s">
        <v>417</v>
      </c>
      <c r="C19" s="31">
        <v>741600.29</v>
      </c>
      <c r="D19" s="31">
        <v>363163.99</v>
      </c>
      <c r="E19" s="31">
        <v>378436.3</v>
      </c>
      <c r="F19" s="31">
        <v>104.20534811284566</v>
      </c>
    </row>
    <row r="20" spans="1:6" x14ac:dyDescent="0.25">
      <c r="A20" s="32" t="s">
        <v>416</v>
      </c>
      <c r="B20" s="32" t="s">
        <v>415</v>
      </c>
      <c r="C20" s="31">
        <v>96448.06</v>
      </c>
      <c r="D20" s="31">
        <v>232978.38</v>
      </c>
      <c r="E20" s="33">
        <v>-136530.32</v>
      </c>
      <c r="F20" s="33">
        <v>-58.602141537768439</v>
      </c>
    </row>
    <row r="21" spans="1:6" x14ac:dyDescent="0.25">
      <c r="A21" s="32" t="s">
        <v>414</v>
      </c>
      <c r="B21" s="32" t="s">
        <v>413</v>
      </c>
      <c r="C21" s="31">
        <v>0</v>
      </c>
      <c r="D21" s="31">
        <v>874</v>
      </c>
      <c r="E21" s="33">
        <v>-874</v>
      </c>
      <c r="F21" s="33">
        <v>-100</v>
      </c>
    </row>
    <row r="22" spans="1:6" x14ac:dyDescent="0.25">
      <c r="A22" s="32" t="s">
        <v>412</v>
      </c>
      <c r="B22" s="32" t="s">
        <v>411</v>
      </c>
      <c r="C22" s="31">
        <v>3902.04</v>
      </c>
      <c r="D22" s="31">
        <v>6849.13</v>
      </c>
      <c r="E22" s="33">
        <v>-2947.09</v>
      </c>
      <c r="F22" s="33">
        <v>-43.028676634842668</v>
      </c>
    </row>
    <row r="23" spans="1:6" x14ac:dyDescent="0.25">
      <c r="A23" s="32"/>
      <c r="B23" s="32" t="s">
        <v>410</v>
      </c>
      <c r="C23" s="31">
        <v>2922283.84</v>
      </c>
      <c r="D23" s="31">
        <v>2417264.04</v>
      </c>
      <c r="E23" s="31">
        <v>505019.8</v>
      </c>
      <c r="F23" s="31">
        <v>20.892206711518369</v>
      </c>
    </row>
    <row r="24" spans="1:6" x14ac:dyDescent="0.25">
      <c r="B24" s="32" t="s">
        <v>409</v>
      </c>
    </row>
    <row r="25" spans="1:6" x14ac:dyDescent="0.25">
      <c r="A25" s="32" t="s">
        <v>408</v>
      </c>
      <c r="B25" s="32" t="s">
        <v>407</v>
      </c>
      <c r="C25" s="31">
        <v>25825.99</v>
      </c>
      <c r="D25" s="31">
        <v>21086.560000000001</v>
      </c>
      <c r="E25" s="31">
        <v>4739.43</v>
      </c>
      <c r="F25" s="31">
        <v>22.476070065482467</v>
      </c>
    </row>
    <row r="26" spans="1:6" x14ac:dyDescent="0.25">
      <c r="A26" s="32" t="s">
        <v>458</v>
      </c>
      <c r="B26" s="32" t="s">
        <v>457</v>
      </c>
      <c r="C26" s="33">
        <v>-731.02</v>
      </c>
      <c r="D26" s="31">
        <v>3779.03</v>
      </c>
      <c r="E26" s="33">
        <v>-4510.05</v>
      </c>
      <c r="F26" s="33">
        <v>-119.34411740578931</v>
      </c>
    </row>
    <row r="27" spans="1:6" x14ac:dyDescent="0.25">
      <c r="A27" s="32" t="s">
        <v>406</v>
      </c>
      <c r="B27" s="32" t="s">
        <v>405</v>
      </c>
      <c r="C27" s="31">
        <v>9578.2099999999991</v>
      </c>
      <c r="D27" s="31">
        <v>6529.69</v>
      </c>
      <c r="E27" s="31">
        <v>3048.52</v>
      </c>
      <c r="F27" s="31">
        <v>46.687055587631271</v>
      </c>
    </row>
    <row r="28" spans="1:6" x14ac:dyDescent="0.25">
      <c r="A28" s="32" t="s">
        <v>404</v>
      </c>
      <c r="B28" s="32" t="s">
        <v>403</v>
      </c>
      <c r="C28" s="31">
        <v>0</v>
      </c>
      <c r="D28" s="33">
        <v>-2331.89</v>
      </c>
      <c r="E28" s="31">
        <v>2331.89</v>
      </c>
      <c r="F28" s="31">
        <v>100</v>
      </c>
    </row>
    <row r="29" spans="1:6" x14ac:dyDescent="0.25">
      <c r="A29" s="32" t="s">
        <v>402</v>
      </c>
      <c r="B29" s="32" t="s">
        <v>401</v>
      </c>
      <c r="C29" s="31">
        <v>2031.6</v>
      </c>
      <c r="D29" s="31">
        <v>2120.15</v>
      </c>
      <c r="E29" s="33">
        <v>-88.55</v>
      </c>
      <c r="F29" s="33">
        <v>-4.176591278918945</v>
      </c>
    </row>
    <row r="30" spans="1:6" x14ac:dyDescent="0.25">
      <c r="A30" s="32"/>
      <c r="B30" s="32" t="s">
        <v>400</v>
      </c>
      <c r="C30" s="31">
        <v>36704.78</v>
      </c>
      <c r="D30" s="31">
        <v>31183.54</v>
      </c>
      <c r="E30" s="31">
        <v>5521.24</v>
      </c>
      <c r="F30" s="31">
        <v>17.705622902338863</v>
      </c>
    </row>
    <row r="31" spans="1:6" x14ac:dyDescent="0.25">
      <c r="A31" s="32"/>
      <c r="B31" s="32" t="s">
        <v>399</v>
      </c>
      <c r="C31" s="31">
        <v>5666486.79</v>
      </c>
      <c r="D31" s="31">
        <v>4323694.72</v>
      </c>
      <c r="E31" s="31">
        <v>1342792.07</v>
      </c>
      <c r="F31" s="31">
        <v>31.056588333785044</v>
      </c>
    </row>
    <row r="32" spans="1:6" x14ac:dyDescent="0.25">
      <c r="B32" s="32" t="s">
        <v>398</v>
      </c>
    </row>
    <row r="33" spans="1:6" x14ac:dyDescent="0.25">
      <c r="A33" s="32" t="s">
        <v>397</v>
      </c>
      <c r="B33" s="32" t="s">
        <v>396</v>
      </c>
      <c r="C33" s="31">
        <v>122000</v>
      </c>
      <c r="D33" s="31">
        <v>122000</v>
      </c>
      <c r="E33" s="31">
        <v>0</v>
      </c>
      <c r="F33" s="31">
        <v>0</v>
      </c>
    </row>
    <row r="34" spans="1:6" x14ac:dyDescent="0.25">
      <c r="A34" s="32" t="s">
        <v>395</v>
      </c>
      <c r="B34" s="32" t="s">
        <v>394</v>
      </c>
      <c r="C34" s="31">
        <v>1039840.73</v>
      </c>
      <c r="D34" s="31">
        <v>1039840.73</v>
      </c>
      <c r="E34" s="31">
        <v>0</v>
      </c>
      <c r="F34" s="31">
        <v>0</v>
      </c>
    </row>
    <row r="35" spans="1:6" x14ac:dyDescent="0.25">
      <c r="A35" s="32" t="s">
        <v>393</v>
      </c>
      <c r="B35" s="32" t="s">
        <v>392</v>
      </c>
      <c r="C35" s="31">
        <v>270383.64</v>
      </c>
      <c r="D35" s="31">
        <v>270383.64</v>
      </c>
      <c r="E35" s="31">
        <v>0</v>
      </c>
      <c r="F35" s="31">
        <v>0</v>
      </c>
    </row>
    <row r="36" spans="1:6" x14ac:dyDescent="0.25">
      <c r="A36" s="32" t="s">
        <v>391</v>
      </c>
      <c r="B36" s="32" t="s">
        <v>390</v>
      </c>
      <c r="C36" s="31">
        <v>2162584.66</v>
      </c>
      <c r="D36" s="31">
        <v>2156400.06</v>
      </c>
      <c r="E36" s="31">
        <v>6184.6</v>
      </c>
      <c r="F36" s="31">
        <v>0.28680206955661097</v>
      </c>
    </row>
    <row r="37" spans="1:6" x14ac:dyDescent="0.25">
      <c r="A37" s="32" t="s">
        <v>456</v>
      </c>
      <c r="B37" s="32" t="s">
        <v>455</v>
      </c>
      <c r="C37" s="31">
        <v>61187.02</v>
      </c>
      <c r="D37" s="31">
        <v>61187.02</v>
      </c>
      <c r="E37" s="31">
        <v>0</v>
      </c>
      <c r="F37" s="31">
        <v>0</v>
      </c>
    </row>
    <row r="38" spans="1:6" x14ac:dyDescent="0.25">
      <c r="A38" s="32" t="s">
        <v>389</v>
      </c>
      <c r="B38" s="32" t="s">
        <v>388</v>
      </c>
      <c r="C38" s="31">
        <v>96925.38</v>
      </c>
      <c r="D38" s="31">
        <v>96925.38</v>
      </c>
      <c r="E38" s="31">
        <v>0</v>
      </c>
      <c r="F38" s="31">
        <v>0</v>
      </c>
    </row>
    <row r="39" spans="1:6" x14ac:dyDescent="0.25">
      <c r="A39" s="32" t="s">
        <v>387</v>
      </c>
      <c r="B39" s="32" t="s">
        <v>386</v>
      </c>
      <c r="C39" s="31">
        <v>0</v>
      </c>
      <c r="D39" s="31">
        <v>110411.14</v>
      </c>
      <c r="E39" s="33">
        <v>-110411.14</v>
      </c>
      <c r="F39" s="33">
        <v>-100</v>
      </c>
    </row>
    <row r="40" spans="1:6" x14ac:dyDescent="0.25">
      <c r="A40" s="32" t="s">
        <v>385</v>
      </c>
      <c r="B40" s="32" t="s">
        <v>384</v>
      </c>
      <c r="C40" s="33">
        <v>-3344929</v>
      </c>
      <c r="D40" s="33">
        <v>-3384311</v>
      </c>
      <c r="E40" s="31">
        <v>39382</v>
      </c>
      <c r="F40" s="31">
        <v>1.1636637413050988</v>
      </c>
    </row>
    <row r="41" spans="1:6" x14ac:dyDescent="0.25">
      <c r="A41" s="32" t="s">
        <v>383</v>
      </c>
      <c r="B41" s="32" t="s">
        <v>382</v>
      </c>
      <c r="C41" s="33">
        <v>-96925.38</v>
      </c>
      <c r="D41" s="33">
        <v>-96925.38</v>
      </c>
      <c r="E41" s="31">
        <v>0</v>
      </c>
      <c r="F41" s="31">
        <v>0</v>
      </c>
    </row>
    <row r="42" spans="1:6" x14ac:dyDescent="0.25">
      <c r="A42" s="32"/>
      <c r="B42" s="32" t="s">
        <v>381</v>
      </c>
      <c r="C42" s="31">
        <v>311067.05</v>
      </c>
      <c r="D42" s="31">
        <v>375911.59</v>
      </c>
      <c r="E42" s="33">
        <v>-64844.54</v>
      </c>
      <c r="F42" s="33">
        <v>-17.249944328665151</v>
      </c>
    </row>
    <row r="43" spans="1:6" x14ac:dyDescent="0.25">
      <c r="A43" s="32"/>
      <c r="B43" s="32" t="s">
        <v>380</v>
      </c>
      <c r="C43" s="31">
        <v>5977553.8399999999</v>
      </c>
      <c r="D43" s="31">
        <v>4699606.3099999996</v>
      </c>
      <c r="E43" s="31">
        <v>1277947.53</v>
      </c>
      <c r="F43" s="31">
        <v>27.192650739291395</v>
      </c>
    </row>
    <row r="44" spans="1:6" x14ac:dyDescent="0.25">
      <c r="B44" s="32" t="s">
        <v>379</v>
      </c>
    </row>
    <row r="45" spans="1:6" x14ac:dyDescent="0.25">
      <c r="B45" s="32" t="s">
        <v>378</v>
      </c>
    </row>
    <row r="46" spans="1:6" x14ac:dyDescent="0.25">
      <c r="A46" s="32" t="s">
        <v>377</v>
      </c>
      <c r="B46" s="32" t="s">
        <v>376</v>
      </c>
      <c r="C46" s="31">
        <v>39600.14</v>
      </c>
      <c r="D46" s="31">
        <v>94757.55</v>
      </c>
      <c r="E46" s="33">
        <v>-55157.41</v>
      </c>
      <c r="F46" s="33">
        <v>-58.208987041138144</v>
      </c>
    </row>
    <row r="47" spans="1:6" x14ac:dyDescent="0.25">
      <c r="A47" s="32" t="s">
        <v>375</v>
      </c>
      <c r="B47" s="32" t="s">
        <v>374</v>
      </c>
      <c r="C47" s="31">
        <v>17482.41</v>
      </c>
      <c r="D47" s="31">
        <v>0</v>
      </c>
      <c r="E47" s="31">
        <v>17482.41</v>
      </c>
      <c r="F47" s="31">
        <v>0</v>
      </c>
    </row>
    <row r="48" spans="1:6" x14ac:dyDescent="0.25">
      <c r="A48" s="32" t="s">
        <v>371</v>
      </c>
      <c r="B48" s="32" t="s">
        <v>370</v>
      </c>
      <c r="C48" s="31">
        <v>20935.07</v>
      </c>
      <c r="D48" s="31">
        <v>34728.92</v>
      </c>
      <c r="E48" s="33">
        <v>-13793.85</v>
      </c>
      <c r="F48" s="33">
        <v>-39.718626435835034</v>
      </c>
    </row>
    <row r="49" spans="1:6" x14ac:dyDescent="0.25">
      <c r="A49" s="32"/>
      <c r="B49" s="32" t="s">
        <v>369</v>
      </c>
      <c r="C49" s="31">
        <v>78017.62</v>
      </c>
      <c r="D49" s="31">
        <v>129486.47</v>
      </c>
      <c r="E49" s="33">
        <v>-51468.85</v>
      </c>
      <c r="F49" s="33">
        <v>-39.748438582038723</v>
      </c>
    </row>
    <row r="50" spans="1:6" x14ac:dyDescent="0.25">
      <c r="B50" s="32" t="s">
        <v>368</v>
      </c>
    </row>
    <row r="51" spans="1:6" x14ac:dyDescent="0.25">
      <c r="B51" s="32" t="s">
        <v>367</v>
      </c>
    </row>
    <row r="52" spans="1:6" x14ac:dyDescent="0.25">
      <c r="B52" s="32" t="s">
        <v>366</v>
      </c>
    </row>
    <row r="53" spans="1:6" x14ac:dyDescent="0.25">
      <c r="A53" s="32" t="s">
        <v>450</v>
      </c>
      <c r="B53" s="32" t="s">
        <v>449</v>
      </c>
      <c r="C53" s="31">
        <v>56805.279999999999</v>
      </c>
      <c r="D53" s="31">
        <v>68864.05</v>
      </c>
      <c r="E53" s="33">
        <v>-12058.77</v>
      </c>
      <c r="F53" s="33">
        <v>-17.510979967051021</v>
      </c>
    </row>
    <row r="54" spans="1:6" x14ac:dyDescent="0.25">
      <c r="A54" s="32" t="s">
        <v>365</v>
      </c>
      <c r="B54" s="32" t="s">
        <v>364</v>
      </c>
      <c r="C54" s="31">
        <v>0</v>
      </c>
      <c r="D54" s="31">
        <v>45069.79</v>
      </c>
      <c r="E54" s="33">
        <v>-45069.79</v>
      </c>
      <c r="F54" s="33">
        <v>-100</v>
      </c>
    </row>
    <row r="55" spans="1:6" x14ac:dyDescent="0.25">
      <c r="A55" s="32" t="s">
        <v>363</v>
      </c>
      <c r="B55" s="32" t="s">
        <v>362</v>
      </c>
      <c r="C55" s="31">
        <v>9543.39</v>
      </c>
      <c r="D55" s="31">
        <v>9613.2099999999991</v>
      </c>
      <c r="E55" s="33">
        <v>-69.819999999999993</v>
      </c>
      <c r="F55" s="33">
        <v>-0.72629225825712751</v>
      </c>
    </row>
    <row r="56" spans="1:6" x14ac:dyDescent="0.25">
      <c r="A56" s="32" t="s">
        <v>361</v>
      </c>
      <c r="B56" s="32" t="s">
        <v>360</v>
      </c>
      <c r="C56" s="31">
        <v>112033.32</v>
      </c>
      <c r="D56" s="31">
        <v>139079.51</v>
      </c>
      <c r="E56" s="33">
        <v>-27046.19</v>
      </c>
      <c r="F56" s="33">
        <v>-19.446566931390539</v>
      </c>
    </row>
    <row r="57" spans="1:6" x14ac:dyDescent="0.25">
      <c r="A57" s="32" t="s">
        <v>359</v>
      </c>
      <c r="B57" s="32" t="s">
        <v>358</v>
      </c>
      <c r="C57" s="31">
        <v>5156.9799999999996</v>
      </c>
      <c r="D57" s="31">
        <v>10815.25</v>
      </c>
      <c r="E57" s="33">
        <v>-5658.27</v>
      </c>
      <c r="F57" s="33">
        <v>-52.317514620558931</v>
      </c>
    </row>
    <row r="58" spans="1:6" x14ac:dyDescent="0.25">
      <c r="A58" s="32" t="s">
        <v>357</v>
      </c>
      <c r="B58" s="32" t="s">
        <v>356</v>
      </c>
      <c r="C58" s="31">
        <v>6101.91</v>
      </c>
      <c r="D58" s="31">
        <v>0</v>
      </c>
      <c r="E58" s="31">
        <v>6101.91</v>
      </c>
      <c r="F58" s="31">
        <v>0</v>
      </c>
    </row>
    <row r="59" spans="1:6" x14ac:dyDescent="0.25">
      <c r="A59" s="32"/>
      <c r="B59" s="32" t="s">
        <v>355</v>
      </c>
      <c r="C59" s="31">
        <v>189640.88</v>
      </c>
      <c r="D59" s="31">
        <v>273441.81</v>
      </c>
      <c r="E59" s="33">
        <v>-83800.929999999993</v>
      </c>
      <c r="F59" s="33">
        <v>-30.646714194877514</v>
      </c>
    </row>
    <row r="60" spans="1:6" x14ac:dyDescent="0.25">
      <c r="A60" s="32"/>
      <c r="B60" s="32" t="s">
        <v>354</v>
      </c>
      <c r="C60" s="31">
        <v>267658.5</v>
      </c>
      <c r="D60" s="31">
        <v>402928.28</v>
      </c>
      <c r="E60" s="33">
        <v>-135269.78</v>
      </c>
      <c r="F60" s="33">
        <v>-33.571676825463825</v>
      </c>
    </row>
    <row r="61" spans="1:6" x14ac:dyDescent="0.25">
      <c r="A61" s="32"/>
      <c r="B61" s="32" t="s">
        <v>353</v>
      </c>
      <c r="C61" s="31">
        <v>267658.5</v>
      </c>
      <c r="D61" s="31">
        <v>402928.28</v>
      </c>
      <c r="E61" s="33">
        <v>-135269.78</v>
      </c>
      <c r="F61" s="33">
        <v>-33.571676825463825</v>
      </c>
    </row>
    <row r="62" spans="1:6" x14ac:dyDescent="0.25">
      <c r="B62" s="32" t="s">
        <v>352</v>
      </c>
    </row>
    <row r="63" spans="1:6" x14ac:dyDescent="0.25">
      <c r="A63" s="32" t="s">
        <v>514</v>
      </c>
      <c r="B63" s="32" t="s">
        <v>351</v>
      </c>
      <c r="C63" s="31">
        <v>165000</v>
      </c>
      <c r="D63" s="31">
        <v>165000</v>
      </c>
      <c r="E63" s="31">
        <v>0</v>
      </c>
      <c r="F63" s="31">
        <v>0</v>
      </c>
    </row>
    <row r="64" spans="1:6" x14ac:dyDescent="0.25">
      <c r="A64" s="32" t="s">
        <v>515</v>
      </c>
      <c r="B64" s="32" t="s">
        <v>350</v>
      </c>
      <c r="C64" s="31">
        <v>37017.440000000002</v>
      </c>
      <c r="D64" s="31">
        <v>0</v>
      </c>
      <c r="E64" s="31">
        <v>37017.440000000002</v>
      </c>
      <c r="F64" s="31">
        <v>0</v>
      </c>
    </row>
    <row r="65" spans="1:6" x14ac:dyDescent="0.25">
      <c r="A65" s="32" t="s">
        <v>516</v>
      </c>
      <c r="B65" s="32" t="s">
        <v>349</v>
      </c>
      <c r="C65" s="31">
        <v>0</v>
      </c>
      <c r="D65" s="33">
        <v>-102030.64</v>
      </c>
      <c r="E65" s="31">
        <v>102030.64</v>
      </c>
      <c r="F65" s="31">
        <v>100</v>
      </c>
    </row>
    <row r="66" spans="1:6" x14ac:dyDescent="0.25">
      <c r="A66" s="32" t="s">
        <v>517</v>
      </c>
      <c r="B66" s="32" t="s">
        <v>348</v>
      </c>
      <c r="C66" s="31">
        <v>23755955.350000001</v>
      </c>
      <c r="D66" s="31">
        <v>23534720.879999999</v>
      </c>
      <c r="E66" s="31">
        <v>221234.47</v>
      </c>
      <c r="F66" s="31">
        <v>0.94003439058419802</v>
      </c>
    </row>
    <row r="67" spans="1:6" x14ac:dyDescent="0.25">
      <c r="A67" s="32" t="s">
        <v>347</v>
      </c>
      <c r="B67" s="32" t="s">
        <v>346</v>
      </c>
      <c r="C67" s="31">
        <v>-18370064.600000001</v>
      </c>
      <c r="D67" s="31">
        <v>-18494824.510000002</v>
      </c>
      <c r="E67" s="33">
        <v>-124759.91</v>
      </c>
      <c r="F67" s="33">
        <v>-0.67456660609319841</v>
      </c>
    </row>
    <row r="68" spans="1:6" x14ac:dyDescent="0.25">
      <c r="A68" s="32" t="s">
        <v>518</v>
      </c>
      <c r="B68" s="32" t="s">
        <v>345</v>
      </c>
      <c r="C68" s="31">
        <v>121987.15</v>
      </c>
      <c r="D68" s="33">
        <v>-806187.7</v>
      </c>
      <c r="E68" s="31">
        <v>928174.85</v>
      </c>
      <c r="F68" s="31">
        <v>115.1313583672884</v>
      </c>
    </row>
    <row r="69" spans="1:6" x14ac:dyDescent="0.25">
      <c r="A69" s="32"/>
      <c r="B69" s="32" t="s">
        <v>344</v>
      </c>
      <c r="C69" s="31">
        <v>5709895.3399999999</v>
      </c>
      <c r="D69" s="31">
        <v>4296678.03</v>
      </c>
      <c r="E69" s="31">
        <v>1413217.31</v>
      </c>
      <c r="F69" s="31">
        <v>32.890928762470011</v>
      </c>
    </row>
    <row r="70" spans="1:6" x14ac:dyDescent="0.25">
      <c r="A70" s="32"/>
      <c r="B70" s="32" t="s">
        <v>343</v>
      </c>
      <c r="C70" s="31">
        <v>5977553.8399999999</v>
      </c>
      <c r="D70" s="31">
        <v>4699606.3099999996</v>
      </c>
      <c r="E70" s="31">
        <v>1277947.53</v>
      </c>
      <c r="F70" s="31">
        <v>27.192650739291395</v>
      </c>
    </row>
    <row r="73" spans="1:6" x14ac:dyDescent="0.25">
      <c r="C73" s="58"/>
    </row>
  </sheetData>
  <pageMargins left="0.75" right="0.75" top="1.5" bottom="1" header="0.5" footer="0.5"/>
  <pageSetup orientation="portrait"/>
  <headerFooter alignWithMargins="0">
    <oddHeader xml:space="preserve">&amp;C American Aerospace Controls Inc.
BALANCE SHEET
FOR PERIOD ENDING:  9/30/2025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16</vt:i4>
      </vt:variant>
    </vt:vector>
  </HeadingPairs>
  <TitlesOfParts>
    <vt:vector size="37" baseType="lpstr">
      <vt:lpstr>Cover</vt:lpstr>
      <vt:lpstr>EBITDA Analysis</vt:lpstr>
      <vt:lpstr>Financials &gt;&gt;</vt:lpstr>
      <vt:lpstr>Income Statement</vt:lpstr>
      <vt:lpstr>Balance Sheet</vt:lpstr>
      <vt:lpstr>Mapping&gt;&gt;</vt:lpstr>
      <vt:lpstr>Chart of Accounts</vt:lpstr>
      <vt:lpstr>Detailed IS</vt:lpstr>
      <vt:lpstr>Detailed BS</vt:lpstr>
      <vt:lpstr>Source Documents &gt;&gt;&gt;</vt:lpstr>
      <vt:lpstr>EBITDA</vt:lpstr>
      <vt:lpstr>Prof Fees</vt:lpstr>
      <vt:lpstr>2021 IS</vt:lpstr>
      <vt:lpstr>2022 IS</vt:lpstr>
      <vt:lpstr>2023 IS</vt:lpstr>
      <vt:lpstr>2024 IS</vt:lpstr>
      <vt:lpstr>2025 IS</vt:lpstr>
      <vt:lpstr>2022 BS</vt:lpstr>
      <vt:lpstr>2023 BS</vt:lpstr>
      <vt:lpstr>2024 BS</vt:lpstr>
      <vt:lpstr>Sep 2025 BS</vt:lpstr>
      <vt:lpstr>'Balance Sheet'!Print_Area</vt:lpstr>
      <vt:lpstr>'Chart of Accounts'!Print_Area</vt:lpstr>
      <vt:lpstr>Cover!Print_Area</vt:lpstr>
      <vt:lpstr>'Detailed BS'!Print_Area</vt:lpstr>
      <vt:lpstr>'Detailed IS'!Print_Area</vt:lpstr>
      <vt:lpstr>'EBITDA Analysis'!Print_Area</vt:lpstr>
      <vt:lpstr>'Income Statement'!Print_Area</vt:lpstr>
      <vt:lpstr>'2021 IS'!Print_Titles</vt:lpstr>
      <vt:lpstr>'2022 BS'!Print_Titles</vt:lpstr>
      <vt:lpstr>'2022 IS'!Print_Titles</vt:lpstr>
      <vt:lpstr>'2023 BS'!Print_Titles</vt:lpstr>
      <vt:lpstr>'2023 IS'!Print_Titles</vt:lpstr>
      <vt:lpstr>'2024 BS'!Print_Titles</vt:lpstr>
      <vt:lpstr>'2024 IS'!Print_Titles</vt:lpstr>
      <vt:lpstr>'2025 IS'!Print_Titles</vt:lpstr>
      <vt:lpstr>'Sep 2025 BS'!Print_Titles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McGoorty</dc:creator>
  <cp:lastModifiedBy>Jack McGoorty</cp:lastModifiedBy>
  <dcterms:created xsi:type="dcterms:W3CDTF">2025-12-04T18:20:08Z</dcterms:created>
  <dcterms:modified xsi:type="dcterms:W3CDTF">2025-12-04T23:02:20Z</dcterms:modified>
</cp:coreProperties>
</file>